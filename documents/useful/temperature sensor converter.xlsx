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rogramming\gauge.s-sorek.uk\documents\useful\"/>
    </mc:Choice>
  </mc:AlternateContent>
  <xr:revisionPtr revIDLastSave="0" documentId="13_ncr:1_{AD5DF7A4-0AE5-4CED-A780-0810286897B2}" xr6:coauthVersionLast="47" xr6:coauthVersionMax="47" xr10:uidLastSave="{00000000-0000-0000-0000-000000000000}"/>
  <bookViews>
    <workbookView xWindow="-120" yWindow="-15" windowWidth="30495" windowHeight="21015" firstSheet="9" activeTab="13" xr2:uid="{B7E37433-98C9-4AC7-A732-162F4F4FFF98}"/>
  </bookViews>
  <sheets>
    <sheet name="Bosch 0280130026 oil temp" sheetId="11" r:id="rId1"/>
    <sheet name="VDO 360-081-029-033C 10B pressu" sheetId="17" r:id="rId2"/>
    <sheet name="Bosch 0261230340 oil + press" sheetId="12" r:id="rId3"/>
    <sheet name="Bosch 0280130023 oil temp" sheetId="10" r:id="rId4"/>
    <sheet name="VDO A2C1755410001 oil temp" sheetId="6" r:id="rId5"/>
    <sheet name="VDO 323-801-001-00 coolant temp" sheetId="7" r:id="rId6"/>
    <sheet name="Random oil sensor" sheetId="14" r:id="rId7"/>
    <sheet name="Bosch E36 coolant sensor" sheetId="16" r:id="rId8"/>
    <sheet name="VDO 360-081-029-001K pressure" sheetId="9" r:id="rId9"/>
    <sheet name="27 NPT 3-160 pressure" sheetId="18" r:id="rId10"/>
    <sheet name="Beta (osculati)" sheetId="19" r:id="rId11"/>
    <sheet name="Bosch E36 coolant sensor (2)" sheetId="21" r:id="rId12"/>
    <sheet name="VDO S50 12611404699 801 37 2" sheetId="23" r:id="rId13"/>
    <sheet name="AEM" sheetId="2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4" l="1"/>
  <c r="E13" i="24"/>
  <c r="F13" i="24" s="1"/>
  <c r="D14" i="24"/>
  <c r="E14" i="24"/>
  <c r="F14" i="24"/>
  <c r="D15" i="24"/>
  <c r="E15" i="24"/>
  <c r="F15" i="24"/>
  <c r="D16" i="24"/>
  <c r="E16" i="24"/>
  <c r="F16" i="24" s="1"/>
  <c r="D17" i="24"/>
  <c r="E17" i="24"/>
  <c r="F17" i="24" s="1"/>
  <c r="D18" i="24"/>
  <c r="E18" i="24"/>
  <c r="F18" i="24" s="1"/>
  <c r="D19" i="24"/>
  <c r="E19" i="24"/>
  <c r="F19" i="24"/>
  <c r="AC12" i="24"/>
  <c r="W12" i="24"/>
  <c r="E12" i="24"/>
  <c r="F12" i="24" s="1"/>
  <c r="Z12" i="24" s="1"/>
  <c r="D12" i="24"/>
  <c r="T12" i="24" s="1"/>
  <c r="AC11" i="24"/>
  <c r="W11" i="24"/>
  <c r="E11" i="24"/>
  <c r="F11" i="24" s="1"/>
  <c r="Z11" i="24" s="1"/>
  <c r="D11" i="24"/>
  <c r="T11" i="24" s="1"/>
  <c r="AC10" i="24"/>
  <c r="W10" i="24"/>
  <c r="E10" i="24"/>
  <c r="F10" i="24" s="1"/>
  <c r="Z10" i="24" s="1"/>
  <c r="D10" i="24"/>
  <c r="T10" i="24" s="1"/>
  <c r="AC9" i="24"/>
  <c r="W9" i="24"/>
  <c r="E9" i="24"/>
  <c r="F9" i="24" s="1"/>
  <c r="Z9" i="24" s="1"/>
  <c r="D9" i="24"/>
  <c r="T9" i="24" s="1"/>
  <c r="AC8" i="24"/>
  <c r="W8" i="24"/>
  <c r="E8" i="24"/>
  <c r="F8" i="24" s="1"/>
  <c r="Z8" i="24" s="1"/>
  <c r="D8" i="24"/>
  <c r="T8" i="24" s="1"/>
  <c r="AC7" i="24"/>
  <c r="W7" i="24"/>
  <c r="E7" i="24"/>
  <c r="F7" i="24" s="1"/>
  <c r="Z7" i="24" s="1"/>
  <c r="D7" i="24"/>
  <c r="T7" i="24" s="1"/>
  <c r="AC6" i="24"/>
  <c r="W6" i="24"/>
  <c r="E6" i="24"/>
  <c r="F6" i="24" s="1"/>
  <c r="Z6" i="24" s="1"/>
  <c r="D6" i="24"/>
  <c r="T6" i="24" s="1"/>
  <c r="AC5" i="24"/>
  <c r="W5" i="24"/>
  <c r="E5" i="24"/>
  <c r="F5" i="24" s="1"/>
  <c r="Z5" i="24" s="1"/>
  <c r="D5" i="24"/>
  <c r="T5" i="24" s="1"/>
  <c r="AC4" i="24"/>
  <c r="W4" i="24"/>
  <c r="E4" i="24"/>
  <c r="F4" i="24" s="1"/>
  <c r="Z4" i="24" s="1"/>
  <c r="D4" i="24"/>
  <c r="T4" i="24" s="1"/>
  <c r="AC3" i="24"/>
  <c r="W3" i="24"/>
  <c r="E3" i="24"/>
  <c r="F3" i="24" s="1"/>
  <c r="Z3" i="24" s="1"/>
  <c r="D3" i="24"/>
  <c r="T3" i="24" s="1"/>
  <c r="AC2" i="24"/>
  <c r="W2" i="24"/>
  <c r="E2" i="24"/>
  <c r="F2" i="24" s="1"/>
  <c r="Z2" i="24" s="1"/>
  <c r="D2" i="24"/>
  <c r="T2" i="24" s="1"/>
  <c r="E2" i="23"/>
  <c r="E3" i="23"/>
  <c r="E4" i="23"/>
  <c r="E5" i="23"/>
  <c r="E6" i="23"/>
  <c r="E7" i="23"/>
  <c r="F7" i="23" s="1"/>
  <c r="Z7" i="23" s="1"/>
  <c r="E8" i="23"/>
  <c r="E9" i="23"/>
  <c r="E10" i="23"/>
  <c r="E11" i="23"/>
  <c r="E12" i="23"/>
  <c r="AC12" i="23"/>
  <c r="W12" i="23"/>
  <c r="F12" i="23"/>
  <c r="Z12" i="23" s="1"/>
  <c r="D12" i="23"/>
  <c r="T12" i="23" s="1"/>
  <c r="AC11" i="23"/>
  <c r="W11" i="23"/>
  <c r="F11" i="23"/>
  <c r="Z11" i="23" s="1"/>
  <c r="D11" i="23"/>
  <c r="T11" i="23" s="1"/>
  <c r="AC10" i="23"/>
  <c r="W10" i="23"/>
  <c r="F10" i="23"/>
  <c r="Z10" i="23" s="1"/>
  <c r="D10" i="23"/>
  <c r="T10" i="23" s="1"/>
  <c r="AC9" i="23"/>
  <c r="W9" i="23"/>
  <c r="F9" i="23"/>
  <c r="Z9" i="23" s="1"/>
  <c r="D9" i="23"/>
  <c r="T9" i="23" s="1"/>
  <c r="AC8" i="23"/>
  <c r="W8" i="23"/>
  <c r="F8" i="23"/>
  <c r="Z8" i="23" s="1"/>
  <c r="D8" i="23"/>
  <c r="T8" i="23" s="1"/>
  <c r="AC7" i="23"/>
  <c r="W7" i="23"/>
  <c r="D7" i="23"/>
  <c r="T7" i="23" s="1"/>
  <c r="AC6" i="23"/>
  <c r="W6" i="23"/>
  <c r="F6" i="23"/>
  <c r="Z6" i="23" s="1"/>
  <c r="D6" i="23"/>
  <c r="T6" i="23" s="1"/>
  <c r="AC5" i="23"/>
  <c r="W5" i="23"/>
  <c r="F5" i="23"/>
  <c r="Z5" i="23" s="1"/>
  <c r="D5" i="23"/>
  <c r="T5" i="23" s="1"/>
  <c r="AC4" i="23"/>
  <c r="W4" i="23"/>
  <c r="F4" i="23"/>
  <c r="Z4" i="23" s="1"/>
  <c r="D4" i="23"/>
  <c r="T4" i="23" s="1"/>
  <c r="AC3" i="23"/>
  <c r="W3" i="23"/>
  <c r="F3" i="23"/>
  <c r="Z3" i="23" s="1"/>
  <c r="D3" i="23"/>
  <c r="T3" i="23" s="1"/>
  <c r="AC2" i="23"/>
  <c r="W2" i="23"/>
  <c r="F2" i="23"/>
  <c r="Z2" i="23" s="1"/>
  <c r="D2" i="23"/>
  <c r="T2" i="23" s="1"/>
  <c r="D12" i="21"/>
  <c r="T12" i="21" s="1"/>
  <c r="D11" i="21"/>
  <c r="D10" i="21"/>
  <c r="D9" i="21"/>
  <c r="D8" i="21"/>
  <c r="D7" i="21"/>
  <c r="T7" i="21" s="1"/>
  <c r="D6" i="21"/>
  <c r="T6" i="21" s="1"/>
  <c r="D5" i="21"/>
  <c r="D4" i="21"/>
  <c r="T4" i="21" s="1"/>
  <c r="D3" i="21"/>
  <c r="D2" i="21"/>
  <c r="AC12" i="21"/>
  <c r="W12" i="21"/>
  <c r="E12" i="21"/>
  <c r="F12" i="21" s="1"/>
  <c r="Z12" i="21" s="1"/>
  <c r="AC11" i="21"/>
  <c r="W11" i="21"/>
  <c r="E11" i="21"/>
  <c r="F11" i="21" s="1"/>
  <c r="Z11" i="21" s="1"/>
  <c r="T11" i="21"/>
  <c r="AC10" i="21"/>
  <c r="W10" i="21"/>
  <c r="E10" i="21"/>
  <c r="F10" i="21" s="1"/>
  <c r="Z10" i="21" s="1"/>
  <c r="T10" i="21"/>
  <c r="AC9" i="21"/>
  <c r="W9" i="21"/>
  <c r="E9" i="21"/>
  <c r="F9" i="21" s="1"/>
  <c r="Z9" i="21" s="1"/>
  <c r="T9" i="21"/>
  <c r="AC8" i="21"/>
  <c r="W8" i="21"/>
  <c r="T8" i="21"/>
  <c r="E8" i="21"/>
  <c r="F8" i="21" s="1"/>
  <c r="Z8" i="21" s="1"/>
  <c r="AC7" i="21"/>
  <c r="W7" i="21"/>
  <c r="E7" i="21"/>
  <c r="F7" i="21" s="1"/>
  <c r="Z7" i="21" s="1"/>
  <c r="AC6" i="21"/>
  <c r="W6" i="21"/>
  <c r="E6" i="21"/>
  <c r="F6" i="21" s="1"/>
  <c r="Z6" i="21" s="1"/>
  <c r="AC5" i="21"/>
  <c r="W5" i="21"/>
  <c r="E5" i="21"/>
  <c r="F5" i="21" s="1"/>
  <c r="Z5" i="21" s="1"/>
  <c r="T5" i="21"/>
  <c r="AC4" i="21"/>
  <c r="W4" i="21"/>
  <c r="E4" i="21"/>
  <c r="F4" i="21" s="1"/>
  <c r="Z4" i="21" s="1"/>
  <c r="AC3" i="21"/>
  <c r="W3" i="21"/>
  <c r="E3" i="21"/>
  <c r="F3" i="21" s="1"/>
  <c r="Z3" i="21" s="1"/>
  <c r="T3" i="21"/>
  <c r="AC2" i="21"/>
  <c r="W2" i="21"/>
  <c r="E2" i="21"/>
  <c r="F2" i="21" s="1"/>
  <c r="T2" i="21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" i="19"/>
  <c r="W26" i="18"/>
  <c r="W27" i="18"/>
  <c r="AC27" i="18"/>
  <c r="E27" i="18"/>
  <c r="F27" i="18" s="1"/>
  <c r="Z27" i="18" s="1"/>
  <c r="AC26" i="18"/>
  <c r="E26" i="18"/>
  <c r="F26" i="18" s="1"/>
  <c r="Z26" i="18" s="1"/>
  <c r="AC25" i="18"/>
  <c r="W25" i="18"/>
  <c r="D25" i="18"/>
  <c r="T25" i="18" s="1"/>
  <c r="AC24" i="18"/>
  <c r="W24" i="18"/>
  <c r="E24" i="18"/>
  <c r="F24" i="18" s="1"/>
  <c r="Z24" i="18" s="1"/>
  <c r="AC23" i="18"/>
  <c r="W23" i="18"/>
  <c r="D23" i="18"/>
  <c r="T23" i="18" s="1"/>
  <c r="AC22" i="18"/>
  <c r="W22" i="18"/>
  <c r="D22" i="18"/>
  <c r="T22" i="18" s="1"/>
  <c r="AC21" i="18"/>
  <c r="W21" i="18"/>
  <c r="D21" i="18"/>
  <c r="T21" i="18" s="1"/>
  <c r="AC20" i="18"/>
  <c r="W20" i="18"/>
  <c r="E20" i="18"/>
  <c r="F20" i="18" s="1"/>
  <c r="Z20" i="18" s="1"/>
  <c r="AC19" i="18"/>
  <c r="W19" i="18"/>
  <c r="E19" i="18"/>
  <c r="F19" i="18" s="1"/>
  <c r="Z19" i="18" s="1"/>
  <c r="AC18" i="18"/>
  <c r="W18" i="18"/>
  <c r="E18" i="18"/>
  <c r="F18" i="18" s="1"/>
  <c r="Z18" i="18" s="1"/>
  <c r="AC17" i="18"/>
  <c r="W17" i="18"/>
  <c r="D17" i="18"/>
  <c r="T17" i="18" s="1"/>
  <c r="AC16" i="18"/>
  <c r="W16" i="18"/>
  <c r="E16" i="18"/>
  <c r="F16" i="18" s="1"/>
  <c r="Z16" i="18" s="1"/>
  <c r="AC15" i="18"/>
  <c r="W15" i="18"/>
  <c r="E15" i="18"/>
  <c r="F15" i="18" s="1"/>
  <c r="Z15" i="18" s="1"/>
  <c r="AC14" i="18"/>
  <c r="W14" i="18"/>
  <c r="D14" i="18"/>
  <c r="T14" i="18" s="1"/>
  <c r="AC13" i="18"/>
  <c r="W13" i="18"/>
  <c r="D13" i="18"/>
  <c r="T13" i="18" s="1"/>
  <c r="AC12" i="18"/>
  <c r="W12" i="18"/>
  <c r="E12" i="18"/>
  <c r="F12" i="18" s="1"/>
  <c r="Z12" i="18" s="1"/>
  <c r="AC11" i="18"/>
  <c r="W11" i="18"/>
  <c r="E11" i="18"/>
  <c r="F11" i="18" s="1"/>
  <c r="Z11" i="18" s="1"/>
  <c r="AC10" i="18"/>
  <c r="W10" i="18"/>
  <c r="D10" i="18"/>
  <c r="T10" i="18" s="1"/>
  <c r="AC9" i="18"/>
  <c r="W9" i="18"/>
  <c r="D9" i="18"/>
  <c r="T9" i="18" s="1"/>
  <c r="AC8" i="18"/>
  <c r="W8" i="18"/>
  <c r="E8" i="18"/>
  <c r="F8" i="18" s="1"/>
  <c r="Z8" i="18" s="1"/>
  <c r="AC7" i="18"/>
  <c r="W7" i="18"/>
  <c r="E7" i="18"/>
  <c r="F7" i="18" s="1"/>
  <c r="Z7" i="18" s="1"/>
  <c r="AC6" i="18"/>
  <c r="W6" i="18"/>
  <c r="D6" i="18"/>
  <c r="T6" i="18" s="1"/>
  <c r="AC5" i="18"/>
  <c r="W5" i="18"/>
  <c r="E5" i="18"/>
  <c r="F5" i="18" s="1"/>
  <c r="Z5" i="18" s="1"/>
  <c r="D5" i="18"/>
  <c r="T5" i="18" s="1"/>
  <c r="AC4" i="18"/>
  <c r="W4" i="18"/>
  <c r="E4" i="18"/>
  <c r="F4" i="18" s="1"/>
  <c r="Z4" i="18" s="1"/>
  <c r="AC3" i="18"/>
  <c r="W3" i="18"/>
  <c r="E3" i="18"/>
  <c r="F3" i="18" s="1"/>
  <c r="Z3" i="18" s="1"/>
  <c r="AC2" i="18"/>
  <c r="W2" i="18"/>
  <c r="E2" i="18"/>
  <c r="F2" i="18" s="1"/>
  <c r="Z2" i="18" s="1"/>
  <c r="AC27" i="17"/>
  <c r="W27" i="17"/>
  <c r="Z27" i="17"/>
  <c r="AC26" i="17"/>
  <c r="W26" i="17"/>
  <c r="Z26" i="17"/>
  <c r="AC25" i="17"/>
  <c r="W25" i="17"/>
  <c r="Z25" i="17"/>
  <c r="AC24" i="17"/>
  <c r="W24" i="17"/>
  <c r="Z24" i="17"/>
  <c r="AC23" i="17"/>
  <c r="W23" i="17"/>
  <c r="Z23" i="17"/>
  <c r="AC22" i="17"/>
  <c r="W22" i="17"/>
  <c r="Z22" i="17"/>
  <c r="AC21" i="17"/>
  <c r="W21" i="17"/>
  <c r="Z21" i="17"/>
  <c r="AC20" i="17"/>
  <c r="W20" i="17"/>
  <c r="Z20" i="17"/>
  <c r="AC19" i="17"/>
  <c r="W19" i="17"/>
  <c r="Z19" i="17"/>
  <c r="AC18" i="17"/>
  <c r="W18" i="17"/>
  <c r="Z18" i="17"/>
  <c r="AC17" i="17"/>
  <c r="W17" i="17"/>
  <c r="T17" i="17"/>
  <c r="AC16" i="17"/>
  <c r="W16" i="17"/>
  <c r="Z16" i="17"/>
  <c r="AC15" i="17"/>
  <c r="W15" i="17"/>
  <c r="E15" i="17"/>
  <c r="F15" i="17" s="1"/>
  <c r="Z15" i="17" s="1"/>
  <c r="AC14" i="17"/>
  <c r="W14" i="17"/>
  <c r="E14" i="17"/>
  <c r="F14" i="17" s="1"/>
  <c r="Z14" i="17" s="1"/>
  <c r="AC13" i="17"/>
  <c r="W13" i="17"/>
  <c r="E13" i="17"/>
  <c r="F13" i="17" s="1"/>
  <c r="Z13" i="17" s="1"/>
  <c r="AC12" i="17"/>
  <c r="W12" i="17"/>
  <c r="E12" i="17"/>
  <c r="F12" i="17" s="1"/>
  <c r="Z12" i="17" s="1"/>
  <c r="AC11" i="17"/>
  <c r="W11" i="17"/>
  <c r="E11" i="17"/>
  <c r="F11" i="17" s="1"/>
  <c r="Z11" i="17" s="1"/>
  <c r="D11" i="17"/>
  <c r="T11" i="17" s="1"/>
  <c r="AC10" i="17"/>
  <c r="W10" i="17"/>
  <c r="E10" i="17"/>
  <c r="F10" i="17" s="1"/>
  <c r="Z10" i="17" s="1"/>
  <c r="AC9" i="17"/>
  <c r="W9" i="17"/>
  <c r="E9" i="17"/>
  <c r="F9" i="17" s="1"/>
  <c r="Z9" i="17" s="1"/>
  <c r="AC8" i="17"/>
  <c r="W8" i="17"/>
  <c r="E8" i="17"/>
  <c r="F8" i="17" s="1"/>
  <c r="Z8" i="17" s="1"/>
  <c r="AC7" i="17"/>
  <c r="W7" i="17"/>
  <c r="E7" i="17"/>
  <c r="F7" i="17" s="1"/>
  <c r="Z7" i="17" s="1"/>
  <c r="AC6" i="17"/>
  <c r="W6" i="17"/>
  <c r="E6" i="17"/>
  <c r="F6" i="17" s="1"/>
  <c r="Z6" i="17" s="1"/>
  <c r="AC5" i="17"/>
  <c r="W5" i="17"/>
  <c r="E5" i="17"/>
  <c r="F5" i="17" s="1"/>
  <c r="Z5" i="17" s="1"/>
  <c r="AC4" i="17"/>
  <c r="W4" i="17"/>
  <c r="E4" i="17"/>
  <c r="F4" i="17" s="1"/>
  <c r="Z4" i="17" s="1"/>
  <c r="AC3" i="17"/>
  <c r="W3" i="17"/>
  <c r="E3" i="17"/>
  <c r="F3" i="17" s="1"/>
  <c r="Z3" i="17" s="1"/>
  <c r="AC2" i="17"/>
  <c r="W2" i="17"/>
  <c r="E2" i="17"/>
  <c r="F2" i="17" s="1"/>
  <c r="Z2" i="17" s="1"/>
  <c r="D2" i="17"/>
  <c r="T2" i="17" s="1"/>
  <c r="E2" i="12"/>
  <c r="F2" i="12" s="1"/>
  <c r="Z2" i="12" s="1"/>
  <c r="C29" i="16"/>
  <c r="C28" i="16"/>
  <c r="C27" i="16"/>
  <c r="C26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AC20" i="16"/>
  <c r="Z20" i="16"/>
  <c r="W20" i="16"/>
  <c r="T20" i="16"/>
  <c r="AC19" i="16"/>
  <c r="Z19" i="16"/>
  <c r="W19" i="16"/>
  <c r="T19" i="16"/>
  <c r="AC18" i="16"/>
  <c r="Z18" i="16"/>
  <c r="W18" i="16"/>
  <c r="T18" i="16"/>
  <c r="AC17" i="16"/>
  <c r="W17" i="16"/>
  <c r="AC16" i="16"/>
  <c r="W16" i="16"/>
  <c r="AC15" i="16"/>
  <c r="W15" i="16"/>
  <c r="AC14" i="16"/>
  <c r="W14" i="16"/>
  <c r="AC13" i="16"/>
  <c r="W13" i="16"/>
  <c r="AC12" i="16"/>
  <c r="W12" i="16"/>
  <c r="AC11" i="16"/>
  <c r="W11" i="16"/>
  <c r="AC10" i="16"/>
  <c r="W10" i="16"/>
  <c r="AC9" i="16"/>
  <c r="W9" i="16"/>
  <c r="AC8" i="16"/>
  <c r="W8" i="16"/>
  <c r="AC7" i="16"/>
  <c r="W7" i="16"/>
  <c r="AC6" i="16"/>
  <c r="W6" i="16"/>
  <c r="AC5" i="16"/>
  <c r="W5" i="16"/>
  <c r="AC4" i="16"/>
  <c r="W4" i="16"/>
  <c r="AC3" i="16"/>
  <c r="W3" i="16"/>
  <c r="AC2" i="16"/>
  <c r="W2" i="16"/>
  <c r="D2" i="11"/>
  <c r="E2" i="11"/>
  <c r="F2" i="11" s="1"/>
  <c r="Z2" i="11" s="1"/>
  <c r="D3" i="11"/>
  <c r="E3" i="11"/>
  <c r="F3" i="11" s="1"/>
  <c r="Z3" i="11" s="1"/>
  <c r="D4" i="11"/>
  <c r="E4" i="11"/>
  <c r="F4" i="11"/>
  <c r="Z4" i="11" s="1"/>
  <c r="D5" i="11"/>
  <c r="E5" i="11"/>
  <c r="F5" i="11"/>
  <c r="Z5" i="11" s="1"/>
  <c r="D6" i="11"/>
  <c r="E6" i="11"/>
  <c r="F6" i="11"/>
  <c r="D7" i="11"/>
  <c r="E7" i="11"/>
  <c r="F7" i="11"/>
  <c r="D8" i="11"/>
  <c r="T8" i="11" s="1"/>
  <c r="E8" i="11"/>
  <c r="F8" i="11"/>
  <c r="Z8" i="11" s="1"/>
  <c r="D9" i="11"/>
  <c r="T9" i="11" s="1"/>
  <c r="E9" i="11"/>
  <c r="F9" i="11"/>
  <c r="Z9" i="11" s="1"/>
  <c r="D10" i="11"/>
  <c r="T10" i="11" s="1"/>
  <c r="E10" i="11"/>
  <c r="F10" i="11"/>
  <c r="Z10" i="11" s="1"/>
  <c r="D11" i="11"/>
  <c r="T11" i="11" s="1"/>
  <c r="E11" i="11"/>
  <c r="F11" i="11" s="1"/>
  <c r="D12" i="11"/>
  <c r="T12" i="11" s="1"/>
  <c r="E12" i="11"/>
  <c r="F12" i="11" s="1"/>
  <c r="D13" i="11"/>
  <c r="T13" i="11" s="1"/>
  <c r="E13" i="11"/>
  <c r="F13" i="11" s="1"/>
  <c r="D14" i="11"/>
  <c r="E14" i="11"/>
  <c r="F14" i="11"/>
  <c r="D15" i="11"/>
  <c r="E15" i="11"/>
  <c r="F15" i="11"/>
  <c r="D16" i="11"/>
  <c r="E16" i="11"/>
  <c r="F16" i="11"/>
  <c r="Z16" i="11" s="1"/>
  <c r="D17" i="11"/>
  <c r="T17" i="11" s="1"/>
  <c r="E17" i="11"/>
  <c r="F17" i="11"/>
  <c r="Z17" i="11" s="1"/>
  <c r="D18" i="11"/>
  <c r="E18" i="11"/>
  <c r="F18" i="11"/>
  <c r="D19" i="11"/>
  <c r="T19" i="11" s="1"/>
  <c r="E19" i="11"/>
  <c r="F19" i="11"/>
  <c r="Z19" i="11" s="1"/>
  <c r="D37" i="6"/>
  <c r="T37" i="6" s="1"/>
  <c r="E37" i="6"/>
  <c r="F37" i="6"/>
  <c r="D38" i="6"/>
  <c r="T38" i="6" s="1"/>
  <c r="E38" i="6"/>
  <c r="F38" i="6"/>
  <c r="D39" i="6"/>
  <c r="T39" i="6" s="1"/>
  <c r="E39" i="6"/>
  <c r="F39" i="6" s="1"/>
  <c r="Z39" i="6" s="1"/>
  <c r="D40" i="6"/>
  <c r="T40" i="6" s="1"/>
  <c r="E40" i="6"/>
  <c r="F40" i="6"/>
  <c r="Z40" i="6" s="1"/>
  <c r="D41" i="6"/>
  <c r="E41" i="6"/>
  <c r="F41" i="6" s="1"/>
  <c r="Z41" i="6" s="1"/>
  <c r="D42" i="6"/>
  <c r="E42" i="6"/>
  <c r="F42" i="6" s="1"/>
  <c r="Z42" i="6" s="1"/>
  <c r="D43" i="6"/>
  <c r="E43" i="6"/>
  <c r="F43" i="6"/>
  <c r="Z43" i="6" s="1"/>
  <c r="D44" i="6"/>
  <c r="T44" i="6" s="1"/>
  <c r="E44" i="6"/>
  <c r="F44" i="6"/>
  <c r="Z44" i="6" s="1"/>
  <c r="D45" i="6"/>
  <c r="E45" i="6"/>
  <c r="F45" i="6"/>
  <c r="Z45" i="6" s="1"/>
  <c r="D2" i="7"/>
  <c r="T2" i="7" s="1"/>
  <c r="E2" i="7"/>
  <c r="F2" i="7"/>
  <c r="Z2" i="7" s="1"/>
  <c r="D3" i="7"/>
  <c r="T3" i="7" s="1"/>
  <c r="E3" i="7"/>
  <c r="F3" i="7" s="1"/>
  <c r="Z3" i="7" s="1"/>
  <c r="D4" i="7"/>
  <c r="T4" i="7" s="1"/>
  <c r="E4" i="7"/>
  <c r="F4" i="7"/>
  <c r="Z4" i="7" s="1"/>
  <c r="D5" i="7"/>
  <c r="T5" i="7" s="1"/>
  <c r="E5" i="7"/>
  <c r="F5" i="7" s="1"/>
  <c r="Z5" i="7" s="1"/>
  <c r="D6" i="7"/>
  <c r="T6" i="7" s="1"/>
  <c r="E6" i="7"/>
  <c r="F6" i="7" s="1"/>
  <c r="Z6" i="7" s="1"/>
  <c r="D7" i="7"/>
  <c r="T7" i="7" s="1"/>
  <c r="E7" i="7"/>
  <c r="F7" i="7" s="1"/>
  <c r="D8" i="7"/>
  <c r="E8" i="7"/>
  <c r="F8" i="7" s="1"/>
  <c r="Z8" i="7" s="1"/>
  <c r="D9" i="7"/>
  <c r="T9" i="7" s="1"/>
  <c r="E9" i="7"/>
  <c r="F9" i="7" s="1"/>
  <c r="Z9" i="7" s="1"/>
  <c r="D10" i="7"/>
  <c r="E10" i="7"/>
  <c r="F10" i="7" s="1"/>
  <c r="Z10" i="7" s="1"/>
  <c r="D11" i="7"/>
  <c r="E11" i="7"/>
  <c r="F11" i="7" s="1"/>
  <c r="D12" i="7"/>
  <c r="E12" i="7"/>
  <c r="F12" i="7" s="1"/>
  <c r="Z12" i="7" s="1"/>
  <c r="D13" i="7"/>
  <c r="E13" i="7"/>
  <c r="F13" i="7" s="1"/>
  <c r="D14" i="7"/>
  <c r="T14" i="7" s="1"/>
  <c r="E14" i="7"/>
  <c r="F14" i="7" s="1"/>
  <c r="D15" i="7"/>
  <c r="T15" i="7" s="1"/>
  <c r="E15" i="7"/>
  <c r="F15" i="7" s="1"/>
  <c r="Z15" i="7" s="1"/>
  <c r="D16" i="7"/>
  <c r="T16" i="7" s="1"/>
  <c r="E16" i="7"/>
  <c r="F16" i="7" s="1"/>
  <c r="Z16" i="7" s="1"/>
  <c r="D17" i="7"/>
  <c r="E17" i="7"/>
  <c r="F17" i="7" s="1"/>
  <c r="Z17" i="7" s="1"/>
  <c r="D18" i="7"/>
  <c r="T18" i="7" s="1"/>
  <c r="E18" i="7"/>
  <c r="F18" i="7"/>
  <c r="Z18" i="7" s="1"/>
  <c r="D19" i="7"/>
  <c r="T19" i="7" s="1"/>
  <c r="E19" i="7"/>
  <c r="F19" i="7" s="1"/>
  <c r="D20" i="7"/>
  <c r="T20" i="7" s="1"/>
  <c r="E20" i="7"/>
  <c r="F20" i="7" s="1"/>
  <c r="Z20" i="7" s="1"/>
  <c r="D21" i="7"/>
  <c r="T21" i="7" s="1"/>
  <c r="E21" i="7"/>
  <c r="F21" i="7" s="1"/>
  <c r="D22" i="7"/>
  <c r="T22" i="7" s="1"/>
  <c r="E22" i="7"/>
  <c r="F22" i="7" s="1"/>
  <c r="Z22" i="7" s="1"/>
  <c r="D23" i="7"/>
  <c r="T23" i="7" s="1"/>
  <c r="E23" i="7"/>
  <c r="F23" i="7" s="1"/>
  <c r="Z23" i="7" s="1"/>
  <c r="D24" i="7"/>
  <c r="T24" i="7" s="1"/>
  <c r="E24" i="7"/>
  <c r="F24" i="7" s="1"/>
  <c r="Z24" i="7" s="1"/>
  <c r="D25" i="7"/>
  <c r="T25" i="7" s="1"/>
  <c r="E25" i="7"/>
  <c r="F25" i="7" s="1"/>
  <c r="D26" i="7"/>
  <c r="T26" i="7" s="1"/>
  <c r="E26" i="7"/>
  <c r="F26" i="7"/>
  <c r="D27" i="7"/>
  <c r="T27" i="7" s="1"/>
  <c r="E27" i="7"/>
  <c r="F27" i="7" s="1"/>
  <c r="Z27" i="7" s="1"/>
  <c r="W2" i="7"/>
  <c r="W3" i="7"/>
  <c r="W4" i="7"/>
  <c r="W5" i="7"/>
  <c r="W6" i="7"/>
  <c r="W7" i="7"/>
  <c r="Z7" i="7"/>
  <c r="T17" i="14"/>
  <c r="W17" i="14"/>
  <c r="Z17" i="14"/>
  <c r="AC17" i="14"/>
  <c r="T18" i="14"/>
  <c r="W18" i="14"/>
  <c r="Z18" i="14"/>
  <c r="AC18" i="14"/>
  <c r="T19" i="14"/>
  <c r="W19" i="14"/>
  <c r="Z19" i="14"/>
  <c r="AC19" i="14"/>
  <c r="T20" i="14"/>
  <c r="W20" i="14"/>
  <c r="Z20" i="14"/>
  <c r="AC20" i="14"/>
  <c r="W2" i="14"/>
  <c r="W3" i="14"/>
  <c r="W4" i="14"/>
  <c r="W5" i="14"/>
  <c r="W6" i="14"/>
  <c r="W7" i="14"/>
  <c r="C18" i="9"/>
  <c r="E18" i="9" s="1"/>
  <c r="F18" i="9" s="1"/>
  <c r="C2" i="9"/>
  <c r="D2" i="9" s="1"/>
  <c r="C3" i="9"/>
  <c r="D3" i="9" s="1"/>
  <c r="C4" i="9"/>
  <c r="D4" i="9"/>
  <c r="T4" i="9" s="1"/>
  <c r="E4" i="9"/>
  <c r="F4" i="9"/>
  <c r="Z4" i="9" s="1"/>
  <c r="C5" i="9"/>
  <c r="D5" i="9"/>
  <c r="E5" i="9"/>
  <c r="F5" i="9" s="1"/>
  <c r="Z5" i="9" s="1"/>
  <c r="C6" i="9"/>
  <c r="D6" i="9" s="1"/>
  <c r="T6" i="9" s="1"/>
  <c r="C7" i="9"/>
  <c r="E7" i="9" s="1"/>
  <c r="F7" i="9" s="1"/>
  <c r="Z7" i="9" s="1"/>
  <c r="D7" i="9"/>
  <c r="T7" i="9" s="1"/>
  <c r="C8" i="9"/>
  <c r="E8" i="9" s="1"/>
  <c r="F8" i="9" s="1"/>
  <c r="D8" i="9"/>
  <c r="C9" i="9"/>
  <c r="D9" i="9" s="1"/>
  <c r="E9" i="9"/>
  <c r="F9" i="9"/>
  <c r="Z9" i="9" s="1"/>
  <c r="C10" i="9"/>
  <c r="E10" i="9" s="1"/>
  <c r="F10" i="9" s="1"/>
  <c r="C11" i="9"/>
  <c r="D11" i="9"/>
  <c r="E11" i="9"/>
  <c r="F11" i="9" s="1"/>
  <c r="C12" i="9"/>
  <c r="D12" i="9" s="1"/>
  <c r="C13" i="9"/>
  <c r="E13" i="9" s="1"/>
  <c r="F13" i="9" s="1"/>
  <c r="D13" i="9"/>
  <c r="C14" i="9"/>
  <c r="D14" i="9" s="1"/>
  <c r="T14" i="9" s="1"/>
  <c r="E14" i="9"/>
  <c r="F14" i="9" s="1"/>
  <c r="C15" i="9"/>
  <c r="D15" i="9" s="1"/>
  <c r="T15" i="9" s="1"/>
  <c r="E15" i="9"/>
  <c r="F15" i="9"/>
  <c r="Z15" i="9" s="1"/>
  <c r="C16" i="9"/>
  <c r="D16" i="9"/>
  <c r="T16" i="9" s="1"/>
  <c r="E16" i="9"/>
  <c r="F16" i="9"/>
  <c r="Z16" i="9" s="1"/>
  <c r="C13" i="14"/>
  <c r="D13" i="14" s="1"/>
  <c r="T13" i="14" s="1"/>
  <c r="C14" i="14"/>
  <c r="D14" i="14" s="1"/>
  <c r="T14" i="14" s="1"/>
  <c r="C26" i="14"/>
  <c r="C2" i="14" s="1"/>
  <c r="C27" i="14"/>
  <c r="C3" i="14" s="1"/>
  <c r="C28" i="14"/>
  <c r="C4" i="14" s="1"/>
  <c r="C29" i="14"/>
  <c r="C5" i="14" s="1"/>
  <c r="C30" i="14"/>
  <c r="C6" i="14" s="1"/>
  <c r="C31" i="14"/>
  <c r="C7" i="14" s="1"/>
  <c r="C32" i="14"/>
  <c r="C8" i="14" s="1"/>
  <c r="C33" i="14"/>
  <c r="C9" i="14" s="1"/>
  <c r="C34" i="14"/>
  <c r="C10" i="14" s="1"/>
  <c r="C35" i="14"/>
  <c r="C11" i="14" s="1"/>
  <c r="C36" i="14"/>
  <c r="C12" i="14" s="1"/>
  <c r="D12" i="14" s="1"/>
  <c r="T12" i="14" s="1"/>
  <c r="C37" i="14"/>
  <c r="C38" i="14"/>
  <c r="C39" i="14"/>
  <c r="C15" i="14" s="1"/>
  <c r="C40" i="14"/>
  <c r="C16" i="14" s="1"/>
  <c r="AC16" i="14"/>
  <c r="W16" i="14"/>
  <c r="AC15" i="14"/>
  <c r="W15" i="14"/>
  <c r="AC14" i="14"/>
  <c r="W14" i="14"/>
  <c r="AC13" i="14"/>
  <c r="W13" i="14"/>
  <c r="AC12" i="14"/>
  <c r="W12" i="14"/>
  <c r="AC11" i="14"/>
  <c r="W11" i="14"/>
  <c r="AC10" i="14"/>
  <c r="W10" i="14"/>
  <c r="AC9" i="14"/>
  <c r="W9" i="14"/>
  <c r="AC8" i="14"/>
  <c r="W8" i="14"/>
  <c r="AC7" i="14"/>
  <c r="AC6" i="14"/>
  <c r="AC5" i="14"/>
  <c r="AC4" i="14"/>
  <c r="AC3" i="14"/>
  <c r="AC2" i="14"/>
  <c r="E23" i="9"/>
  <c r="F23" i="9" s="1"/>
  <c r="E24" i="9"/>
  <c r="F24" i="9" s="1"/>
  <c r="E25" i="9"/>
  <c r="F25" i="9" s="1"/>
  <c r="E26" i="9"/>
  <c r="F26" i="9" s="1"/>
  <c r="E27" i="9"/>
  <c r="E28" i="7"/>
  <c r="F28" i="7" s="1"/>
  <c r="Z28" i="7" s="1"/>
  <c r="E29" i="7"/>
  <c r="F29" i="7" s="1"/>
  <c r="Z29" i="7" s="1"/>
  <c r="E30" i="7"/>
  <c r="F30" i="7" s="1"/>
  <c r="Z30" i="7" s="1"/>
  <c r="E31" i="7"/>
  <c r="F31" i="7" s="1"/>
  <c r="Z31" i="7" s="1"/>
  <c r="E32" i="7"/>
  <c r="E33" i="7"/>
  <c r="F33" i="7" s="1"/>
  <c r="Z33" i="7" s="1"/>
  <c r="E34" i="7"/>
  <c r="F34" i="7" s="1"/>
  <c r="Z34" i="7" s="1"/>
  <c r="E35" i="7"/>
  <c r="F35" i="7" s="1"/>
  <c r="Z35" i="7" s="1"/>
  <c r="E36" i="7"/>
  <c r="F36" i="7" s="1"/>
  <c r="Z36" i="7" s="1"/>
  <c r="E37" i="7"/>
  <c r="F37" i="7" s="1"/>
  <c r="E38" i="7"/>
  <c r="F38" i="7" s="1"/>
  <c r="E39" i="7"/>
  <c r="F39" i="7" s="1"/>
  <c r="Z39" i="7" s="1"/>
  <c r="E40" i="7"/>
  <c r="F40" i="7" s="1"/>
  <c r="Z40" i="7" s="1"/>
  <c r="F2" i="6"/>
  <c r="Z2" i="6" s="1"/>
  <c r="E3" i="6"/>
  <c r="F3" i="6" s="1"/>
  <c r="Z3" i="6" s="1"/>
  <c r="E4" i="6"/>
  <c r="F4" i="6" s="1"/>
  <c r="Z4" i="6" s="1"/>
  <c r="E5" i="6"/>
  <c r="F5" i="6" s="1"/>
  <c r="Z5" i="6" s="1"/>
  <c r="E6" i="6"/>
  <c r="E7" i="6"/>
  <c r="E8" i="6"/>
  <c r="E9" i="6"/>
  <c r="E10" i="6"/>
  <c r="E11" i="6"/>
  <c r="F11" i="6" s="1"/>
  <c r="Z11" i="6" s="1"/>
  <c r="E12" i="6"/>
  <c r="F12" i="6" s="1"/>
  <c r="Z12" i="6" s="1"/>
  <c r="E13" i="6"/>
  <c r="F13" i="6" s="1"/>
  <c r="Z13" i="6" s="1"/>
  <c r="E14" i="6"/>
  <c r="F14" i="6" s="1"/>
  <c r="E15" i="6"/>
  <c r="F15" i="6" s="1"/>
  <c r="Z15" i="6" s="1"/>
  <c r="E16" i="6"/>
  <c r="F16" i="6" s="1"/>
  <c r="Z16" i="6" s="1"/>
  <c r="E17" i="6"/>
  <c r="E18" i="6"/>
  <c r="E19" i="6"/>
  <c r="E20" i="6"/>
  <c r="E21" i="6"/>
  <c r="E22" i="6"/>
  <c r="F22" i="6" s="1"/>
  <c r="Z22" i="6" s="1"/>
  <c r="E23" i="6"/>
  <c r="F23" i="6" s="1"/>
  <c r="Z23" i="6" s="1"/>
  <c r="E24" i="6"/>
  <c r="F24" i="6" s="1"/>
  <c r="Z24" i="6" s="1"/>
  <c r="E25" i="6"/>
  <c r="F25" i="6" s="1"/>
  <c r="Z25" i="6" s="1"/>
  <c r="E26" i="6"/>
  <c r="F26" i="6" s="1"/>
  <c r="E27" i="6"/>
  <c r="F27" i="6" s="1"/>
  <c r="Z27" i="6" s="1"/>
  <c r="E28" i="6"/>
  <c r="F28" i="6" s="1"/>
  <c r="Z28" i="6" s="1"/>
  <c r="E29" i="6"/>
  <c r="F29" i="6" s="1"/>
  <c r="Z29" i="6" s="1"/>
  <c r="E30" i="6"/>
  <c r="F30" i="6" s="1"/>
  <c r="Z30" i="6" s="1"/>
  <c r="E31" i="6"/>
  <c r="F31" i="6" s="1"/>
  <c r="Z31" i="6" s="1"/>
  <c r="E32" i="6"/>
  <c r="F32" i="6" s="1"/>
  <c r="Z32" i="6" s="1"/>
  <c r="E33" i="6"/>
  <c r="F33" i="6" s="1"/>
  <c r="Z33" i="6" s="1"/>
  <c r="E34" i="6"/>
  <c r="F34" i="6" s="1"/>
  <c r="Z34" i="6" s="1"/>
  <c r="E35" i="6"/>
  <c r="F35" i="6" s="1"/>
  <c r="Z35" i="6" s="1"/>
  <c r="E36" i="6"/>
  <c r="F36" i="6" s="1"/>
  <c r="Z36" i="6" s="1"/>
  <c r="Z37" i="6"/>
  <c r="E46" i="6"/>
  <c r="F46" i="6" s="1"/>
  <c r="Z46" i="6" s="1"/>
  <c r="E2" i="6"/>
  <c r="E3" i="10"/>
  <c r="E4" i="10"/>
  <c r="E5" i="10"/>
  <c r="E6" i="10"/>
  <c r="E7" i="10"/>
  <c r="F7" i="10" s="1"/>
  <c r="E8" i="10"/>
  <c r="F8" i="10" s="1"/>
  <c r="Z8" i="10" s="1"/>
  <c r="E9" i="10"/>
  <c r="F9" i="10" s="1"/>
  <c r="E10" i="10"/>
  <c r="F10" i="10" s="1"/>
  <c r="Z10" i="10" s="1"/>
  <c r="E11" i="10"/>
  <c r="E12" i="10"/>
  <c r="F12" i="10" s="1"/>
  <c r="E13" i="10"/>
  <c r="F13" i="10" s="1"/>
  <c r="Z13" i="10" s="1"/>
  <c r="E14" i="10"/>
  <c r="F14" i="10" s="1"/>
  <c r="E15" i="10"/>
  <c r="E16" i="10"/>
  <c r="E17" i="10"/>
  <c r="E18" i="10"/>
  <c r="E19" i="10"/>
  <c r="F19" i="10" s="1"/>
  <c r="E20" i="10"/>
  <c r="F20" i="10" s="1"/>
  <c r="Z20" i="10" s="1"/>
  <c r="E2" i="10"/>
  <c r="F2" i="10" s="1"/>
  <c r="Z2" i="10" s="1"/>
  <c r="E3" i="12"/>
  <c r="F3" i="12" s="1"/>
  <c r="Z3" i="12" s="1"/>
  <c r="E4" i="12"/>
  <c r="F4" i="12" s="1"/>
  <c r="Z4" i="12" s="1"/>
  <c r="E5" i="12"/>
  <c r="F5" i="12" s="1"/>
  <c r="Z5" i="12" s="1"/>
  <c r="E6" i="12"/>
  <c r="F6" i="12" s="1"/>
  <c r="Z6" i="12" s="1"/>
  <c r="E7" i="12"/>
  <c r="F7" i="12" s="1"/>
  <c r="Z7" i="12" s="1"/>
  <c r="E8" i="12"/>
  <c r="F8" i="12" s="1"/>
  <c r="Z8" i="12" s="1"/>
  <c r="E9" i="12"/>
  <c r="F9" i="12" s="1"/>
  <c r="Z9" i="12" s="1"/>
  <c r="E10" i="12"/>
  <c r="F10" i="12" s="1"/>
  <c r="Z10" i="12" s="1"/>
  <c r="E11" i="12"/>
  <c r="F11" i="12" s="1"/>
  <c r="Z11" i="12" s="1"/>
  <c r="E12" i="12"/>
  <c r="F12" i="12" s="1"/>
  <c r="Z12" i="12" s="1"/>
  <c r="E13" i="12"/>
  <c r="F13" i="12" s="1"/>
  <c r="Z13" i="12" s="1"/>
  <c r="E14" i="12"/>
  <c r="F14" i="12" s="1"/>
  <c r="Z14" i="12" s="1"/>
  <c r="E15" i="12"/>
  <c r="F15" i="12" s="1"/>
  <c r="Z15" i="12" s="1"/>
  <c r="E16" i="12"/>
  <c r="E17" i="12"/>
  <c r="F17" i="12" s="1"/>
  <c r="Z17" i="12" s="1"/>
  <c r="E18" i="12"/>
  <c r="E19" i="12"/>
  <c r="F19" i="12" s="1"/>
  <c r="Z19" i="12" s="1"/>
  <c r="E20" i="12"/>
  <c r="D7" i="12"/>
  <c r="T7" i="12" s="1"/>
  <c r="D6" i="12"/>
  <c r="T6" i="12" s="1"/>
  <c r="F16" i="12"/>
  <c r="Z16" i="12" s="1"/>
  <c r="F18" i="12"/>
  <c r="Z18" i="12" s="1"/>
  <c r="F20" i="12"/>
  <c r="Z20" i="12" s="1"/>
  <c r="F27" i="9"/>
  <c r="Z27" i="9" s="1"/>
  <c r="F32" i="7"/>
  <c r="Z32" i="7" s="1"/>
  <c r="F6" i="6"/>
  <c r="Z6" i="6" s="1"/>
  <c r="F7" i="6"/>
  <c r="Z7" i="6" s="1"/>
  <c r="F8" i="6"/>
  <c r="Z8" i="6" s="1"/>
  <c r="F9" i="6"/>
  <c r="Z9" i="6" s="1"/>
  <c r="F10" i="6"/>
  <c r="Z10" i="6" s="1"/>
  <c r="F17" i="6"/>
  <c r="Z17" i="6" s="1"/>
  <c r="F18" i="6"/>
  <c r="Z18" i="6" s="1"/>
  <c r="F19" i="6"/>
  <c r="Z19" i="6" s="1"/>
  <c r="F20" i="6"/>
  <c r="Z20" i="6" s="1"/>
  <c r="F21" i="6"/>
  <c r="Z21" i="6" s="1"/>
  <c r="F3" i="10"/>
  <c r="F4" i="10"/>
  <c r="F5" i="10"/>
  <c r="F6" i="10"/>
  <c r="F11" i="10"/>
  <c r="F15" i="10"/>
  <c r="Z15" i="10" s="1"/>
  <c r="F16" i="10"/>
  <c r="F17" i="10"/>
  <c r="Z17" i="10" s="1"/>
  <c r="F18" i="10"/>
  <c r="Z18" i="11"/>
  <c r="T3" i="9"/>
  <c r="D2" i="6"/>
  <c r="T2" i="6" s="1"/>
  <c r="AC20" i="12"/>
  <c r="W20" i="12"/>
  <c r="AC19" i="12"/>
  <c r="W19" i="12"/>
  <c r="AC18" i="12"/>
  <c r="W18" i="12"/>
  <c r="AC17" i="12"/>
  <c r="W17" i="12"/>
  <c r="AC16" i="12"/>
  <c r="W16" i="12"/>
  <c r="AC15" i="12"/>
  <c r="W15" i="12"/>
  <c r="AC14" i="12"/>
  <c r="W14" i="12"/>
  <c r="AC13" i="12"/>
  <c r="W13" i="12"/>
  <c r="AC12" i="12"/>
  <c r="W12" i="12"/>
  <c r="AC11" i="12"/>
  <c r="W11" i="12"/>
  <c r="AC10" i="12"/>
  <c r="W10" i="12"/>
  <c r="AC9" i="12"/>
  <c r="W9" i="12"/>
  <c r="AC8" i="12"/>
  <c r="W8" i="12"/>
  <c r="AC7" i="12"/>
  <c r="W7" i="12"/>
  <c r="AC6" i="12"/>
  <c r="W6" i="12"/>
  <c r="AC5" i="12"/>
  <c r="W5" i="12"/>
  <c r="AC4" i="12"/>
  <c r="W4" i="12"/>
  <c r="AC3" i="12"/>
  <c r="W3" i="12"/>
  <c r="AC2" i="12"/>
  <c r="W2" i="12"/>
  <c r="D20" i="12"/>
  <c r="T20" i="12" s="1"/>
  <c r="D19" i="12"/>
  <c r="T19" i="12" s="1"/>
  <c r="D18" i="12"/>
  <c r="T18" i="12" s="1"/>
  <c r="D17" i="12"/>
  <c r="T17" i="12" s="1"/>
  <c r="D16" i="12"/>
  <c r="T16" i="12" s="1"/>
  <c r="D15" i="12"/>
  <c r="T15" i="12" s="1"/>
  <c r="D14" i="12"/>
  <c r="T14" i="12" s="1"/>
  <c r="D13" i="12"/>
  <c r="T13" i="12" s="1"/>
  <c r="D12" i="12"/>
  <c r="T12" i="12" s="1"/>
  <c r="D11" i="12"/>
  <c r="T11" i="12" s="1"/>
  <c r="D10" i="12"/>
  <c r="T10" i="12" s="1"/>
  <c r="D9" i="12"/>
  <c r="T9" i="12" s="1"/>
  <c r="D8" i="12"/>
  <c r="T8" i="12" s="1"/>
  <c r="D5" i="12"/>
  <c r="T5" i="12" s="1"/>
  <c r="D4" i="12"/>
  <c r="T4" i="12" s="1"/>
  <c r="D3" i="12"/>
  <c r="T3" i="12" s="1"/>
  <c r="D2" i="12"/>
  <c r="T2" i="12" s="1"/>
  <c r="W19" i="11"/>
  <c r="AC19" i="11"/>
  <c r="AC18" i="11"/>
  <c r="W18" i="11"/>
  <c r="T18" i="11"/>
  <c r="AC17" i="11"/>
  <c r="W17" i="11"/>
  <c r="AC16" i="11"/>
  <c r="W16" i="11"/>
  <c r="T16" i="11"/>
  <c r="AC15" i="11"/>
  <c r="W15" i="11"/>
  <c r="Z15" i="11"/>
  <c r="T15" i="11"/>
  <c r="AC14" i="11"/>
  <c r="W14" i="11"/>
  <c r="T14" i="11"/>
  <c r="AC13" i="11"/>
  <c r="W13" i="11"/>
  <c r="AC12" i="11"/>
  <c r="W12" i="11"/>
  <c r="AC11" i="11"/>
  <c r="W11" i="11"/>
  <c r="AC10" i="11"/>
  <c r="W10" i="11"/>
  <c r="AC9" i="11"/>
  <c r="W9" i="11"/>
  <c r="AC8" i="11"/>
  <c r="W8" i="11"/>
  <c r="AC7" i="11"/>
  <c r="W7" i="11"/>
  <c r="Z7" i="11"/>
  <c r="T7" i="11"/>
  <c r="AC6" i="11"/>
  <c r="W6" i="11"/>
  <c r="Z6" i="11"/>
  <c r="T6" i="11"/>
  <c r="AC5" i="11"/>
  <c r="W5" i="11"/>
  <c r="T5" i="11"/>
  <c r="AC4" i="11"/>
  <c r="W4" i="11"/>
  <c r="T4" i="11"/>
  <c r="AC3" i="11"/>
  <c r="W3" i="11"/>
  <c r="T3" i="11"/>
  <c r="AC2" i="11"/>
  <c r="W2" i="11"/>
  <c r="T2" i="11"/>
  <c r="AC20" i="10"/>
  <c r="W20" i="10"/>
  <c r="D20" i="10"/>
  <c r="T20" i="10" s="1"/>
  <c r="AC19" i="10"/>
  <c r="W19" i="10"/>
  <c r="AC18" i="10"/>
  <c r="W18" i="10"/>
  <c r="D18" i="10"/>
  <c r="T18" i="10" s="1"/>
  <c r="AC17" i="10"/>
  <c r="W17" i="10"/>
  <c r="D17" i="10"/>
  <c r="T17" i="10" s="1"/>
  <c r="AC16" i="10"/>
  <c r="W16" i="10"/>
  <c r="D16" i="10"/>
  <c r="T16" i="10" s="1"/>
  <c r="AC15" i="10"/>
  <c r="W15" i="10"/>
  <c r="AC14" i="10"/>
  <c r="W14" i="10"/>
  <c r="D14" i="10"/>
  <c r="T14" i="10" s="1"/>
  <c r="AC13" i="10"/>
  <c r="W13" i="10"/>
  <c r="AC12" i="10"/>
  <c r="W12" i="10"/>
  <c r="D12" i="10"/>
  <c r="T12" i="10" s="1"/>
  <c r="AC11" i="10"/>
  <c r="W11" i="10"/>
  <c r="D11" i="10"/>
  <c r="T11" i="10" s="1"/>
  <c r="AC10" i="10"/>
  <c r="W10" i="10"/>
  <c r="AC9" i="10"/>
  <c r="W9" i="10"/>
  <c r="D9" i="10"/>
  <c r="T9" i="10" s="1"/>
  <c r="AC8" i="10"/>
  <c r="W8" i="10"/>
  <c r="D8" i="10"/>
  <c r="T8" i="10" s="1"/>
  <c r="AC7" i="10"/>
  <c r="W7" i="10"/>
  <c r="D7" i="10"/>
  <c r="T7" i="10" s="1"/>
  <c r="AC6" i="10"/>
  <c r="W6" i="10"/>
  <c r="D6" i="10"/>
  <c r="T6" i="10" s="1"/>
  <c r="AC5" i="10"/>
  <c r="W5" i="10"/>
  <c r="D5" i="10"/>
  <c r="T5" i="10" s="1"/>
  <c r="Z5" i="10"/>
  <c r="AC4" i="10"/>
  <c r="W4" i="10"/>
  <c r="Z4" i="10"/>
  <c r="AC3" i="10"/>
  <c r="W3" i="10"/>
  <c r="Z3" i="10"/>
  <c r="AC2" i="10"/>
  <c r="W2" i="10"/>
  <c r="D2" i="10"/>
  <c r="T2" i="10" s="1"/>
  <c r="C17" i="9"/>
  <c r="D17" i="9" s="1"/>
  <c r="T17" i="9" s="1"/>
  <c r="C19" i="9"/>
  <c r="D19" i="9" s="1"/>
  <c r="T19" i="9" s="1"/>
  <c r="C20" i="9"/>
  <c r="E20" i="9" s="1"/>
  <c r="F20" i="9" s="1"/>
  <c r="Z20" i="9" s="1"/>
  <c r="C21" i="9"/>
  <c r="D21" i="9" s="1"/>
  <c r="T21" i="9" s="1"/>
  <c r="C22" i="9"/>
  <c r="E22" i="9" s="1"/>
  <c r="F22" i="9" s="1"/>
  <c r="C23" i="9"/>
  <c r="D23" i="9" s="1"/>
  <c r="T23" i="9" s="1"/>
  <c r="C24" i="9"/>
  <c r="C25" i="9"/>
  <c r="C26" i="9"/>
  <c r="D26" i="9" s="1"/>
  <c r="T26" i="9" s="1"/>
  <c r="C27" i="9"/>
  <c r="AC27" i="9"/>
  <c r="W27" i="9"/>
  <c r="D27" i="9"/>
  <c r="T27" i="9" s="1"/>
  <c r="AC26" i="9"/>
  <c r="W26" i="9"/>
  <c r="AC25" i="9"/>
  <c r="W25" i="9"/>
  <c r="AC24" i="9"/>
  <c r="W24" i="9"/>
  <c r="AC23" i="9"/>
  <c r="W23" i="9"/>
  <c r="AC22" i="9"/>
  <c r="W22" i="9"/>
  <c r="AC21" i="9"/>
  <c r="W21" i="9"/>
  <c r="AC20" i="9"/>
  <c r="W20" i="9"/>
  <c r="AC19" i="9"/>
  <c r="W19" i="9"/>
  <c r="AC18" i="9"/>
  <c r="W18" i="9"/>
  <c r="D18" i="9"/>
  <c r="T18" i="9" s="1"/>
  <c r="AC17" i="9"/>
  <c r="W17" i="9"/>
  <c r="AC16" i="9"/>
  <c r="W16" i="9"/>
  <c r="AC15" i="9"/>
  <c r="W15" i="9"/>
  <c r="AC14" i="9"/>
  <c r="W14" i="9"/>
  <c r="AC13" i="9"/>
  <c r="W13" i="9"/>
  <c r="AC12" i="9"/>
  <c r="W12" i="9"/>
  <c r="AC11" i="9"/>
  <c r="W11" i="9"/>
  <c r="AC10" i="9"/>
  <c r="W10" i="9"/>
  <c r="AC9" i="9"/>
  <c r="W9" i="9"/>
  <c r="T9" i="9"/>
  <c r="AC8" i="9"/>
  <c r="W8" i="9"/>
  <c r="T8" i="9"/>
  <c r="AC7" i="9"/>
  <c r="W7" i="9"/>
  <c r="AC6" i="9"/>
  <c r="W6" i="9"/>
  <c r="AC5" i="9"/>
  <c r="W5" i="9"/>
  <c r="T5" i="9"/>
  <c r="AC4" i="9"/>
  <c r="W4" i="9"/>
  <c r="AC3" i="9"/>
  <c r="W3" i="9"/>
  <c r="AC2" i="9"/>
  <c r="W2" i="9"/>
  <c r="D36" i="6"/>
  <c r="T36" i="6" s="1"/>
  <c r="AC36" i="6"/>
  <c r="W36" i="6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2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T17" i="7"/>
  <c r="D40" i="7"/>
  <c r="T40" i="7" s="1"/>
  <c r="D39" i="7"/>
  <c r="T39" i="7" s="1"/>
  <c r="D38" i="7"/>
  <c r="T38" i="7" s="1"/>
  <c r="D37" i="7"/>
  <c r="T37" i="7" s="1"/>
  <c r="D36" i="7"/>
  <c r="T36" i="7" s="1"/>
  <c r="D35" i="7"/>
  <c r="T35" i="7" s="1"/>
  <c r="D34" i="7"/>
  <c r="T34" i="7" s="1"/>
  <c r="D33" i="7"/>
  <c r="T33" i="7" s="1"/>
  <c r="D32" i="7"/>
  <c r="T32" i="7" s="1"/>
  <c r="D31" i="7"/>
  <c r="T31" i="7" s="1"/>
  <c r="D30" i="7"/>
  <c r="T30" i="7" s="1"/>
  <c r="D29" i="7"/>
  <c r="T29" i="7" s="1"/>
  <c r="D28" i="7"/>
  <c r="T28" i="7" s="1"/>
  <c r="T13" i="7"/>
  <c r="T12" i="7"/>
  <c r="T11" i="7"/>
  <c r="T10" i="7"/>
  <c r="T8" i="7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7" i="6"/>
  <c r="AC38" i="6"/>
  <c r="AC39" i="6"/>
  <c r="AC40" i="6"/>
  <c r="AC41" i="6"/>
  <c r="AC42" i="6"/>
  <c r="AC43" i="6"/>
  <c r="AC44" i="6"/>
  <c r="AC45" i="6"/>
  <c r="AC46" i="6"/>
  <c r="AC2" i="6"/>
  <c r="W46" i="6"/>
  <c r="W37" i="6"/>
  <c r="W38" i="6"/>
  <c r="W39" i="6"/>
  <c r="W40" i="6"/>
  <c r="W41" i="6"/>
  <c r="W42" i="6"/>
  <c r="W43" i="6"/>
  <c r="W44" i="6"/>
  <c r="W45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2" i="6"/>
  <c r="D3" i="6"/>
  <c r="T3" i="6" s="1"/>
  <c r="D4" i="6"/>
  <c r="T4" i="6" s="1"/>
  <c r="D5" i="6"/>
  <c r="T5" i="6" s="1"/>
  <c r="D6" i="6"/>
  <c r="T6" i="6" s="1"/>
  <c r="D7" i="6"/>
  <c r="T7" i="6" s="1"/>
  <c r="D8" i="6"/>
  <c r="T8" i="6" s="1"/>
  <c r="D9" i="6"/>
  <c r="T9" i="6" s="1"/>
  <c r="D10" i="6"/>
  <c r="T10" i="6" s="1"/>
  <c r="D11" i="6"/>
  <c r="T11" i="6" s="1"/>
  <c r="D12" i="6"/>
  <c r="T12" i="6" s="1"/>
  <c r="D13" i="6"/>
  <c r="T13" i="6" s="1"/>
  <c r="D14" i="6"/>
  <c r="T14" i="6" s="1"/>
  <c r="D15" i="6"/>
  <c r="T15" i="6" s="1"/>
  <c r="D16" i="6"/>
  <c r="T16" i="6" s="1"/>
  <c r="D17" i="6"/>
  <c r="T17" i="6" s="1"/>
  <c r="D18" i="6"/>
  <c r="T18" i="6" s="1"/>
  <c r="D19" i="6"/>
  <c r="T19" i="6" s="1"/>
  <c r="D20" i="6"/>
  <c r="T20" i="6" s="1"/>
  <c r="D21" i="6"/>
  <c r="T21" i="6" s="1"/>
  <c r="D22" i="6"/>
  <c r="T22" i="6" s="1"/>
  <c r="D23" i="6"/>
  <c r="T23" i="6" s="1"/>
  <c r="D24" i="6"/>
  <c r="T24" i="6" s="1"/>
  <c r="D25" i="6"/>
  <c r="T25" i="6" s="1"/>
  <c r="D26" i="6"/>
  <c r="T26" i="6" s="1"/>
  <c r="D27" i="6"/>
  <c r="T27" i="6" s="1"/>
  <c r="D28" i="6"/>
  <c r="T28" i="6" s="1"/>
  <c r="D29" i="6"/>
  <c r="T29" i="6" s="1"/>
  <c r="D30" i="6"/>
  <c r="T30" i="6" s="1"/>
  <c r="D31" i="6"/>
  <c r="T31" i="6" s="1"/>
  <c r="D32" i="6"/>
  <c r="T32" i="6" s="1"/>
  <c r="D33" i="6"/>
  <c r="T33" i="6" s="1"/>
  <c r="D34" i="6"/>
  <c r="T34" i="6" s="1"/>
  <c r="D35" i="6"/>
  <c r="T35" i="6" s="1"/>
  <c r="T41" i="6"/>
  <c r="T42" i="6"/>
  <c r="T43" i="6"/>
  <c r="T45" i="6"/>
  <c r="D46" i="6"/>
  <c r="T46" i="6" s="1"/>
  <c r="Z2" i="21" l="1"/>
  <c r="D3" i="14"/>
  <c r="T3" i="14" s="1"/>
  <c r="E3" i="14"/>
  <c r="F3" i="14" s="1"/>
  <c r="Z3" i="14" s="1"/>
  <c r="D20" i="9"/>
  <c r="T20" i="9" s="1"/>
  <c r="E21" i="9"/>
  <c r="F21" i="9" s="1"/>
  <c r="Z21" i="9" s="1"/>
  <c r="E19" i="9"/>
  <c r="F19" i="9" s="1"/>
  <c r="Z19" i="9" s="1"/>
  <c r="E17" i="9"/>
  <c r="F17" i="9" s="1"/>
  <c r="Z17" i="9" s="1"/>
  <c r="D10" i="9"/>
  <c r="E21" i="18"/>
  <c r="F21" i="18" s="1"/>
  <c r="Z21" i="18" s="1"/>
  <c r="E9" i="18"/>
  <c r="F9" i="18" s="1"/>
  <c r="Z9" i="18" s="1"/>
  <c r="E13" i="18"/>
  <c r="F13" i="18" s="1"/>
  <c r="Z13" i="18" s="1"/>
  <c r="E17" i="18"/>
  <c r="F17" i="18" s="1"/>
  <c r="Z17" i="18" s="1"/>
  <c r="D15" i="18"/>
  <c r="T15" i="18" s="1"/>
  <c r="D26" i="18"/>
  <c r="T26" i="18" s="1"/>
  <c r="E22" i="18"/>
  <c r="F22" i="18" s="1"/>
  <c r="Z22" i="18" s="1"/>
  <c r="D4" i="18"/>
  <c r="T4" i="18" s="1"/>
  <c r="D8" i="18"/>
  <c r="T8" i="18" s="1"/>
  <c r="D12" i="18"/>
  <c r="T12" i="18" s="1"/>
  <c r="D16" i="18"/>
  <c r="T16" i="18" s="1"/>
  <c r="D20" i="18"/>
  <c r="T20" i="18" s="1"/>
  <c r="D24" i="18"/>
  <c r="T24" i="18" s="1"/>
  <c r="E25" i="18"/>
  <c r="F25" i="18" s="1"/>
  <c r="Z25" i="18" s="1"/>
  <c r="D18" i="18"/>
  <c r="T18" i="18" s="1"/>
  <c r="E14" i="18"/>
  <c r="F14" i="18" s="1"/>
  <c r="Z14" i="18" s="1"/>
  <c r="E10" i="18"/>
  <c r="F10" i="18" s="1"/>
  <c r="Z10" i="18" s="1"/>
  <c r="D19" i="18"/>
  <c r="T19" i="18" s="1"/>
  <c r="D2" i="18"/>
  <c r="T2" i="18" s="1"/>
  <c r="D7" i="18"/>
  <c r="T7" i="18" s="1"/>
  <c r="D11" i="18"/>
  <c r="T11" i="18" s="1"/>
  <c r="E6" i="18"/>
  <c r="F6" i="18" s="1"/>
  <c r="Z6" i="18" s="1"/>
  <c r="D3" i="18"/>
  <c r="T3" i="18" s="1"/>
  <c r="D27" i="18"/>
  <c r="T27" i="18" s="1"/>
  <c r="E23" i="18"/>
  <c r="F23" i="18" s="1"/>
  <c r="Z23" i="18" s="1"/>
  <c r="Z17" i="17"/>
  <c r="T20" i="17"/>
  <c r="T23" i="17"/>
  <c r="D14" i="17"/>
  <c r="T14" i="17" s="1"/>
  <c r="T26" i="17"/>
  <c r="D8" i="17"/>
  <c r="T8" i="17" s="1"/>
  <c r="D5" i="17"/>
  <c r="T5" i="17" s="1"/>
  <c r="D4" i="17"/>
  <c r="T4" i="17" s="1"/>
  <c r="D7" i="17"/>
  <c r="T7" i="17" s="1"/>
  <c r="D10" i="17"/>
  <c r="T10" i="17" s="1"/>
  <c r="D13" i="17"/>
  <c r="T13" i="17" s="1"/>
  <c r="T16" i="17"/>
  <c r="T19" i="17"/>
  <c r="T22" i="17"/>
  <c r="T25" i="17"/>
  <c r="T27" i="17"/>
  <c r="D3" i="17"/>
  <c r="T3" i="17" s="1"/>
  <c r="D6" i="17"/>
  <c r="T6" i="17" s="1"/>
  <c r="D9" i="17"/>
  <c r="T9" i="17" s="1"/>
  <c r="D12" i="17"/>
  <c r="T12" i="17" s="1"/>
  <c r="D15" i="17"/>
  <c r="T15" i="17" s="1"/>
  <c r="T18" i="17"/>
  <c r="T21" i="17"/>
  <c r="T24" i="17"/>
  <c r="D6" i="14"/>
  <c r="T6" i="14" s="1"/>
  <c r="E6" i="14"/>
  <c r="F6" i="14" s="1"/>
  <c r="Z6" i="14" s="1"/>
  <c r="E5" i="14"/>
  <c r="F5" i="14" s="1"/>
  <c r="Z5" i="14" s="1"/>
  <c r="D5" i="14"/>
  <c r="T5" i="14" s="1"/>
  <c r="D2" i="14"/>
  <c r="T2" i="14" s="1"/>
  <c r="E2" i="14"/>
  <c r="F2" i="14" s="1"/>
  <c r="Z2" i="14" s="1"/>
  <c r="D4" i="14"/>
  <c r="T4" i="14" s="1"/>
  <c r="E4" i="14"/>
  <c r="F4" i="14" s="1"/>
  <c r="Z4" i="14" s="1"/>
  <c r="E11" i="14"/>
  <c r="F11" i="14" s="1"/>
  <c r="Z11" i="14" s="1"/>
  <c r="D11" i="14"/>
  <c r="T11" i="14" s="1"/>
  <c r="E10" i="14"/>
  <c r="F10" i="14" s="1"/>
  <c r="Z10" i="14" s="1"/>
  <c r="D10" i="14"/>
  <c r="T10" i="14" s="1"/>
  <c r="D7" i="14"/>
  <c r="T7" i="14" s="1"/>
  <c r="E7" i="14"/>
  <c r="F7" i="14" s="1"/>
  <c r="Z7" i="14" s="1"/>
  <c r="E12" i="9"/>
  <c r="F12" i="9" s="1"/>
  <c r="E3" i="9"/>
  <c r="F3" i="9" s="1"/>
  <c r="Z3" i="9" s="1"/>
  <c r="E6" i="9"/>
  <c r="F6" i="9" s="1"/>
  <c r="Z6" i="9" s="1"/>
  <c r="E2" i="9"/>
  <c r="F2" i="9" s="1"/>
  <c r="Z2" i="9" s="1"/>
  <c r="E9" i="14"/>
  <c r="F9" i="14" s="1"/>
  <c r="Z9" i="14" s="1"/>
  <c r="D9" i="14"/>
  <c r="T9" i="14" s="1"/>
  <c r="E8" i="14"/>
  <c r="F8" i="14" s="1"/>
  <c r="Z8" i="14" s="1"/>
  <c r="D8" i="14"/>
  <c r="T8" i="14" s="1"/>
  <c r="D16" i="14"/>
  <c r="T16" i="14" s="1"/>
  <c r="E16" i="14"/>
  <c r="F16" i="14" s="1"/>
  <c r="Z16" i="14" s="1"/>
  <c r="D15" i="14"/>
  <c r="T15" i="14" s="1"/>
  <c r="E15" i="14"/>
  <c r="F15" i="14" s="1"/>
  <c r="Z15" i="14" s="1"/>
  <c r="E14" i="14"/>
  <c r="F14" i="14" s="1"/>
  <c r="Z14" i="14" s="1"/>
  <c r="E13" i="14"/>
  <c r="F13" i="14" s="1"/>
  <c r="Z13" i="14" s="1"/>
  <c r="E12" i="14"/>
  <c r="F12" i="14" s="1"/>
  <c r="Z12" i="14" s="1"/>
  <c r="Z25" i="9"/>
  <c r="Z13" i="9"/>
  <c r="Z12" i="9"/>
  <c r="Z11" i="9"/>
  <c r="Z24" i="9"/>
  <c r="Z22" i="9"/>
  <c r="Z10" i="9"/>
  <c r="Z8" i="9"/>
  <c r="Z18" i="9"/>
  <c r="Z14" i="9"/>
  <c r="Z13" i="7"/>
  <c r="Z19" i="7"/>
  <c r="Z25" i="7"/>
  <c r="Z37" i="7"/>
  <c r="Z21" i="7"/>
  <c r="Z11" i="7"/>
  <c r="Z14" i="7"/>
  <c r="Z26" i="7"/>
  <c r="Z38" i="7"/>
  <c r="Z14" i="6"/>
  <c r="Z38" i="6"/>
  <c r="Z26" i="6"/>
  <c r="Z14" i="10"/>
  <c r="Z11" i="10"/>
  <c r="Z19" i="10"/>
  <c r="Z14" i="11"/>
  <c r="Z13" i="11"/>
  <c r="Z12" i="11"/>
  <c r="Z11" i="11"/>
  <c r="Z7" i="10"/>
  <c r="Z16" i="10"/>
  <c r="Z6" i="10"/>
  <c r="Z9" i="10"/>
  <c r="Z12" i="10"/>
  <c r="Z18" i="10"/>
  <c r="D19" i="10"/>
  <c r="T19" i="10" s="1"/>
  <c r="D15" i="10"/>
  <c r="T15" i="10" s="1"/>
  <c r="D4" i="10"/>
  <c r="T4" i="10" s="1"/>
  <c r="D10" i="10"/>
  <c r="T10" i="10" s="1"/>
  <c r="D13" i="10"/>
  <c r="T13" i="10" s="1"/>
  <c r="D3" i="10"/>
  <c r="T3" i="10" s="1"/>
  <c r="T10" i="9"/>
  <c r="Z23" i="9"/>
  <c r="T11" i="9"/>
  <c r="Z26" i="9"/>
  <c r="D22" i="9"/>
  <c r="T22" i="9" s="1"/>
  <c r="D24" i="9"/>
  <c r="T24" i="9" s="1"/>
  <c r="T12" i="9"/>
  <c r="T2" i="9"/>
  <c r="T13" i="9"/>
  <c r="D25" i="9"/>
  <c r="T25" i="9" s="1"/>
  <c r="E10" i="16"/>
  <c r="F10" i="16" s="1"/>
  <c r="Z10" i="16" s="1"/>
  <c r="E9" i="16"/>
  <c r="F9" i="16" s="1"/>
  <c r="Z9" i="16" s="1"/>
  <c r="E11" i="16"/>
  <c r="F11" i="16" s="1"/>
  <c r="Z11" i="16" s="1"/>
  <c r="E7" i="16"/>
  <c r="F7" i="16" s="1"/>
  <c r="Z7" i="16" s="1"/>
  <c r="E12" i="16"/>
  <c r="F12" i="16" s="1"/>
  <c r="Z12" i="16" s="1"/>
  <c r="E6" i="16"/>
  <c r="F6" i="16" s="1"/>
  <c r="Z6" i="16" s="1"/>
  <c r="E3" i="16"/>
  <c r="F3" i="16" s="1"/>
  <c r="Z3" i="16" s="1"/>
  <c r="E13" i="16"/>
  <c r="F13" i="16" s="1"/>
  <c r="Z13" i="16" s="1"/>
  <c r="E8" i="16"/>
  <c r="F8" i="16" s="1"/>
  <c r="Z8" i="16" s="1"/>
  <c r="E15" i="16"/>
  <c r="F15" i="16"/>
  <c r="Z15" i="16" s="1"/>
  <c r="E14" i="16"/>
  <c r="F14" i="16" s="1"/>
  <c r="Z14" i="16" s="1"/>
  <c r="D6" i="16"/>
  <c r="T6" i="16" s="1"/>
  <c r="D7" i="16"/>
  <c r="T7" i="16" s="1"/>
  <c r="D8" i="16"/>
  <c r="T8" i="16"/>
  <c r="E4" i="16"/>
  <c r="F4" i="16"/>
  <c r="Z4" i="16" s="1"/>
  <c r="E5" i="16"/>
  <c r="F5" i="16" s="1"/>
  <c r="Z5" i="16" s="1"/>
  <c r="D9" i="16"/>
  <c r="T9" i="16" s="1"/>
  <c r="D10" i="16"/>
  <c r="T10" i="16"/>
  <c r="E16" i="16"/>
  <c r="F16" i="16" s="1"/>
  <c r="Z16" i="16" s="1"/>
  <c r="D11" i="16"/>
  <c r="T11" i="16" s="1"/>
  <c r="D12" i="16"/>
  <c r="T12" i="16" s="1"/>
  <c r="D13" i="16"/>
  <c r="T13" i="16" s="1"/>
  <c r="D14" i="16"/>
  <c r="T14" i="16"/>
  <c r="D3" i="16"/>
  <c r="T3" i="16"/>
  <c r="D15" i="16"/>
  <c r="T15" i="16" s="1"/>
  <c r="D4" i="16"/>
  <c r="T4" i="16" s="1"/>
  <c r="D16" i="16"/>
  <c r="T16" i="16" s="1"/>
  <c r="D2" i="16"/>
  <c r="T2" i="16" s="1"/>
  <c r="E2" i="16"/>
  <c r="F2" i="16"/>
  <c r="Z2" i="16" s="1"/>
  <c r="E17" i="16"/>
  <c r="F17" i="16" s="1"/>
  <c r="Z17" i="16" s="1"/>
  <c r="D5" i="16"/>
  <c r="T5" i="16" s="1"/>
  <c r="D17" i="16"/>
  <c r="T17" i="16" s="1"/>
</calcChain>
</file>

<file path=xl/sharedStrings.xml><?xml version="1.0" encoding="utf-8"?>
<sst xmlns="http://schemas.openxmlformats.org/spreadsheetml/2006/main" count="2608" uniqueCount="117">
  <si>
    <t>Voltage (V)</t>
  </si>
  <si>
    <t>Temperature (°C)</t>
  </si>
  <si>
    <t>Ref. Voltage (V)</t>
  </si>
  <si>
    <t>,</t>
  </si>
  <si>
    <t>},</t>
  </si>
  <si>
    <t>}</t>
  </si>
  <si>
    <t xml:space="preserve">  "lutTable": [</t>
  </si>
  <si>
    <t>]</t>
  </si>
  <si>
    <t>{ "x":</t>
  </si>
  <si>
    <t>"y":</t>
  </si>
  <si>
    <t>Bias resistor (Ω)</t>
  </si>
  <si>
    <t>PD resistor (Ω)</t>
  </si>
  <si>
    <t>Resistance (Ω)</t>
  </si>
  <si>
    <t>Analog 1-2:</t>
  </si>
  <si>
    <t>Bias reistor (Ω)</t>
  </si>
  <si>
    <t>Voltage div (V)</t>
  </si>
  <si>
    <t>Par res (Ω)</t>
  </si>
  <si>
    <t>[</t>
  </si>
  <si>
    <t>Link:</t>
  </si>
  <si>
    <t>https://vdo-webshop.nl/en/temperature-sensors/408-continental-vdo-coolant-temperature-sender-120%C2%B0c-m14-4103590400123.html</t>
  </si>
  <si>
    <t>https://vdo-webshop.nl/en/temperature-sensors/443-vdo-oil-temperature-sender-150c-m12.html</t>
  </si>
  <si>
    <t>https://vdo-webshop.nl/en/pressure-senders/633-vdo-pressure-sender-0-5-bar-m10-4103590300300.html</t>
  </si>
  <si>
    <t>Pressure (Bar)</t>
  </si>
  <si>
    <t>NTC M12</t>
  </si>
  <si>
    <t>Conversion</t>
  </si>
  <si>
    <t>=</t>
  </si>
  <si>
    <t>https://vdo-webshop.nl/en/pressure-senders/317-vdo-pressure-sender-0-10-bar-m14-4103590300287.html</t>
  </si>
  <si>
    <t>https://www.prosportgauges.co.uk/shop/oil-pressure-sensor-3-160-ohms</t>
  </si>
  <si>
    <t>R</t>
  </si>
  <si>
    <t>T0 (°C)</t>
  </si>
  <si>
    <t>R (Ohm)</t>
  </si>
  <si>
    <t>B (K)</t>
  </si>
  <si>
    <t>P (Ohm)</t>
  </si>
  <si>
    <t>V</t>
  </si>
  <si>
    <t>Temp C</t>
  </si>
  <si>
    <t>-20 C</t>
  </si>
  <si>
    <t>-10 C</t>
  </si>
  <si>
    <t>0C</t>
  </si>
  <si>
    <t>10 C</t>
  </si>
  <si>
    <t>20 C</t>
  </si>
  <si>
    <t>30 C</t>
  </si>
  <si>
    <t>40 C</t>
  </si>
  <si>
    <t>50 C</t>
  </si>
  <si>
    <t>60 C</t>
  </si>
  <si>
    <t>70 C</t>
  </si>
  <si>
    <t>80 C</t>
  </si>
  <si>
    <t>90 C</t>
  </si>
  <si>
    <t>100 C</t>
  </si>
  <si>
    <t>110 C</t>
  </si>
  <si>
    <t>120 C</t>
  </si>
  <si>
    <t>130 C</t>
  </si>
  <si>
    <t>140 C</t>
  </si>
  <si>
    <t>150 C</t>
  </si>
  <si>
    <t>Temp F</t>
  </si>
  <si>
    <t>-4 F</t>
  </si>
  <si>
    <t>14 F</t>
  </si>
  <si>
    <t>32 F</t>
  </si>
  <si>
    <t>50 F</t>
  </si>
  <si>
    <t>68 F</t>
  </si>
  <si>
    <t>86 F</t>
  </si>
  <si>
    <t>104 F</t>
  </si>
  <si>
    <t>122 F</t>
  </si>
  <si>
    <t>140 F</t>
  </si>
  <si>
    <t>158 F</t>
  </si>
  <si>
    <t>176 F</t>
  </si>
  <si>
    <t>194 F</t>
  </si>
  <si>
    <t>212 F</t>
  </si>
  <si>
    <t>230 F</t>
  </si>
  <si>
    <t>248 F</t>
  </si>
  <si>
    <t>266 F</t>
  </si>
  <si>
    <t>284 F</t>
  </si>
  <si>
    <t>302 F</t>
  </si>
  <si>
    <t>Calibration</t>
  </si>
  <si>
    <t>Sensor</t>
  </si>
  <si>
    <t>Resistance</t>
  </si>
  <si>
    <t>Ohms</t>
  </si>
  <si>
    <t>Voltage with 5v Pull-Up Resistor</t>
  </si>
  <si>
    <t>S1, S2, &amp; AQ1</t>
  </si>
  <si>
    <t>2,200 Ohms</t>
  </si>
  <si>
    <t>4.64 Volts</t>
  </si>
  <si>
    <t>4.39 Volts</t>
  </si>
  <si>
    <t>4.05 Volts</t>
  </si>
  <si>
    <t>3.59 Volts</t>
  </si>
  <si>
    <t>3.06 Volts</t>
  </si>
  <si>
    <t>2.52 Volts</t>
  </si>
  <si>
    <t>2.00 Volts</t>
  </si>
  <si>
    <t>1.55 Volts</t>
  </si>
  <si>
    <t>1.17 Volts</t>
  </si>
  <si>
    <t>0.88 Volts</t>
  </si>
  <si>
    <t>0.66 Volts</t>
  </si>
  <si>
    <t>0.49 Volts</t>
  </si>
  <si>
    <t>0.37 Volts</t>
  </si>
  <si>
    <t>0.28 Volts</t>
  </si>
  <si>
    <t>0.21 Volts</t>
  </si>
  <si>
    <t>0.16 Volts</t>
  </si>
  <si>
    <t>0.13 Volts</t>
  </si>
  <si>
    <t>0.10 Volts</t>
  </si>
  <si>
    <t>Infinity ECU</t>
  </si>
  <si>
    <t>2,490 Ohms</t>
  </si>
  <si>
    <t>4.59 Volts</t>
  </si>
  <si>
    <t>4.32 Volts</t>
  </si>
  <si>
    <t>3.95 Volts</t>
  </si>
  <si>
    <t>3.46 Volts</t>
  </si>
  <si>
    <t>2.91 Volts</t>
  </si>
  <si>
    <t>2.36 Volts</t>
  </si>
  <si>
    <t>1.85 Volts</t>
  </si>
  <si>
    <t>1.42 Volts</t>
  </si>
  <si>
    <t>1.06 Volts</t>
  </si>
  <si>
    <t>0.79 Volts</t>
  </si>
  <si>
    <t>0.59 Volts</t>
  </si>
  <si>
    <t>0.44 Volts</t>
  </si>
  <si>
    <t>0.33 Volts</t>
  </si>
  <si>
    <t>0.25 Volts</t>
  </si>
  <si>
    <t>0.19 Volts</t>
  </si>
  <si>
    <t>0.14 Volts</t>
  </si>
  <si>
    <t>0.11 Volts</t>
  </si>
  <si>
    <t>0.08 Volts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</si>
</sst>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1" fontId="0" fillId="0" borderId="0" xfId="0" applyNumberFormat="1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/>
    <xf numFmtId="0" fontId="1" fillId="0" borderId="0" xfId="1"/>
    <xf numFmtId="0" fontId="2" fillId="0" borderId="1" xfId="0" applyFont="1" applyBorder="1"/>
    <xf numFmtId="165" fontId="2" fillId="0" borderId="1" xfId="0" applyNumberFormat="1" applyFont="1" applyBorder="1"/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166" fontId="0" fillId="0" borderId="0" xfId="0" applyNumberFormat="1" applyAlignment="1">
      <alignment horizontal="left" vertical="center"/>
    </xf>
    <xf numFmtId="166" fontId="0" fillId="0" borderId="0" xfId="0" applyNumberFormat="1"/>
    <xf numFmtId="2" fontId="0" fillId="0" borderId="0" xfId="0" applyNumberFormat="1"/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'Bosch 0280130026 oil temp'!$G$1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6.8506725194936446E-2"/>
                  <c:y val="-0.46643411551336494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0280130026 oil temp'!$D$2:$D$19</c:f>
              <c:numCache>
                <c:formatCode>0.0000</c:formatCode>
                <c:ptCount val="18"/>
                <c:pt idx="0">
                  <c:v>0.26969696969696971</c:v>
                </c:pt>
                <c:pt idx="1">
                  <c:v>0.33504043126684635</c:v>
                </c:pt>
                <c:pt idx="2">
                  <c:v>0.41538461538461535</c:v>
                </c:pt>
                <c:pt idx="3">
                  <c:v>0.51988205560235889</c:v>
                </c:pt>
                <c:pt idx="4">
                  <c:v>0.64513274336283188</c:v>
                </c:pt>
                <c:pt idx="5">
                  <c:v>0.80566893424036268</c:v>
                </c:pt>
                <c:pt idx="6">
                  <c:v>1.0019498607242339</c:v>
                </c:pt>
                <c:pt idx="7">
                  <c:v>1.2323308270676692</c:v>
                </c:pt>
                <c:pt idx="8">
                  <c:v>1.5006543075245364</c:v>
                </c:pt>
                <c:pt idx="9">
                  <c:v>1.7827586206896551</c:v>
                </c:pt>
                <c:pt idx="10">
                  <c:v>2.0809383080901367</c:v>
                </c:pt>
                <c:pt idx="11">
                  <c:v>2.3571428571428572</c:v>
                </c:pt>
                <c:pt idx="12">
                  <c:v>2.6113522537562601</c:v>
                </c:pt>
                <c:pt idx="13">
                  <c:v>2.821461716937355</c:v>
                </c:pt>
                <c:pt idx="14">
                  <c:v>2.9826007502164082</c:v>
                </c:pt>
                <c:pt idx="15">
                  <c:v>3.0995383307010083</c:v>
                </c:pt>
                <c:pt idx="16">
                  <c:v>3.1782916574463376</c:v>
                </c:pt>
                <c:pt idx="17">
                  <c:v>3.2287457085483555</c:v>
                </c:pt>
              </c:numCache>
            </c:numRef>
          </c:xVal>
          <c:yVal>
            <c:numRef>
              <c:f>'Bosch 0280130026 oil temp'!$G$2:$G$19</c:f>
              <c:numCache>
                <c:formatCode>0.0000</c:formatCode>
                <c:ptCount val="18"/>
                <c:pt idx="0">
                  <c:v>130</c:v>
                </c:pt>
                <c:pt idx="1">
                  <c:v>120</c:v>
                </c:pt>
                <c:pt idx="2">
                  <c:v>110</c:v>
                </c:pt>
                <c:pt idx="3">
                  <c:v>100</c:v>
                </c:pt>
                <c:pt idx="4">
                  <c:v>90</c:v>
                </c:pt>
                <c:pt idx="5">
                  <c:v>80</c:v>
                </c:pt>
                <c:pt idx="6">
                  <c:v>70</c:v>
                </c:pt>
                <c:pt idx="7">
                  <c:v>60</c:v>
                </c:pt>
                <c:pt idx="8">
                  <c:v>50</c:v>
                </c:pt>
                <c:pt idx="9">
                  <c:v>40</c:v>
                </c:pt>
                <c:pt idx="10">
                  <c:v>30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-10</c:v>
                </c:pt>
                <c:pt idx="15">
                  <c:v>-20</c:v>
                </c:pt>
                <c:pt idx="16">
                  <c:v>-30</c:v>
                </c:pt>
                <c:pt idx="17">
                  <c:v>-40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4C-48B8-B8DE-674378DC99E4}"/>
            </c:ext>
          </c:extLst>
        </c:ser>
        <c:ser>
          <c:idx val="1"/>
          <c:order val="1"/>
          <c:tx>
            <c:v>Alt voltage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7.6575624415873525E-2"/>
                  <c:y val="-1.2863648331763554E-2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0280130026 oil temp'!$F$2:$F$19</c:f>
              <c:numCache>
                <c:formatCode>0.0000</c:formatCode>
                <c:ptCount val="18"/>
                <c:pt idx="0">
                  <c:v>0.18079914936482172</c:v>
                </c:pt>
                <c:pt idx="1">
                  <c:v>0.22325695313775648</c:v>
                </c:pt>
                <c:pt idx="2">
                  <c:v>0.27476871320437335</c:v>
                </c:pt>
                <c:pt idx="3">
                  <c:v>0.34064836653786318</c:v>
                </c:pt>
                <c:pt idx="4">
                  <c:v>0.41799270245936598</c:v>
                </c:pt>
                <c:pt idx="5">
                  <c:v>0.51463371812316205</c:v>
                </c:pt>
                <c:pt idx="6">
                  <c:v>0.62914612816027971</c:v>
                </c:pt>
                <c:pt idx="7">
                  <c:v>0.75868985832515068</c:v>
                </c:pt>
                <c:pt idx="8">
                  <c:v>0.90332995166199215</c:v>
                </c:pt>
                <c:pt idx="9">
                  <c:v>1.048617086662569</c:v>
                </c:pt>
                <c:pt idx="10">
                  <c:v>1.195133758944587</c:v>
                </c:pt>
                <c:pt idx="11">
                  <c:v>1.3248175182481754</c:v>
                </c:pt>
                <c:pt idx="12">
                  <c:v>1.4393675757068762</c:v>
                </c:pt>
                <c:pt idx="13">
                  <c:v>1.5307604279910736</c:v>
                </c:pt>
                <c:pt idx="14">
                  <c:v>1.5989307996268811</c:v>
                </c:pt>
                <c:pt idx="15">
                  <c:v>1.6473944972439256</c:v>
                </c:pt>
                <c:pt idx="16">
                  <c:v>1.6795681740061021</c:v>
                </c:pt>
                <c:pt idx="17">
                  <c:v>1.699987391132245</c:v>
                </c:pt>
              </c:numCache>
            </c:numRef>
          </c:xVal>
          <c:yVal>
            <c:numRef>
              <c:f>'Bosch 0280130026 oil temp'!$G$2:$G$19</c:f>
              <c:numCache>
                <c:formatCode>0.0000</c:formatCode>
                <c:ptCount val="18"/>
                <c:pt idx="0">
                  <c:v>130</c:v>
                </c:pt>
                <c:pt idx="1">
                  <c:v>120</c:v>
                </c:pt>
                <c:pt idx="2">
                  <c:v>110</c:v>
                </c:pt>
                <c:pt idx="3">
                  <c:v>100</c:v>
                </c:pt>
                <c:pt idx="4">
                  <c:v>90</c:v>
                </c:pt>
                <c:pt idx="5">
                  <c:v>80</c:v>
                </c:pt>
                <c:pt idx="6">
                  <c:v>70</c:v>
                </c:pt>
                <c:pt idx="7">
                  <c:v>60</c:v>
                </c:pt>
                <c:pt idx="8">
                  <c:v>50</c:v>
                </c:pt>
                <c:pt idx="9">
                  <c:v>40</c:v>
                </c:pt>
                <c:pt idx="10">
                  <c:v>30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-10</c:v>
                </c:pt>
                <c:pt idx="15">
                  <c:v>-20</c:v>
                </c:pt>
                <c:pt idx="16">
                  <c:v>-30</c:v>
                </c:pt>
                <c:pt idx="17">
                  <c:v>-40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4C-48B8-B8DE-674378DC9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'VDO 360-081-029-033C 10B pressu'!$G$1</c:f>
              <c:strCache>
                <c:ptCount val="1"/>
                <c:pt idx="0">
                  <c:v>Pressure (Bar)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36353874409432813"/>
                  <c:y val="4.713518893226832E-2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360-081-029-033C 10B pressu'!$D$2:$D$27</c:f>
              <c:numCache>
                <c:formatCode>0.0000</c:formatCode>
                <c:ptCount val="26"/>
                <c:pt idx="0">
                  <c:v>0.32702699756513537</c:v>
                </c:pt>
                <c:pt idx="1">
                  <c:v>0.61925258982513487</c:v>
                </c:pt>
                <c:pt idx="2">
                  <c:v>0.83914982556675421</c:v>
                </c:pt>
                <c:pt idx="3">
                  <c:v>1.0428179861273608</c:v>
                </c:pt>
                <c:pt idx="4">
                  <c:v>1.2007632823941932</c:v>
                </c:pt>
                <c:pt idx="5">
                  <c:v>1.4471082848338974</c:v>
                </c:pt>
                <c:pt idx="6">
                  <c:v>1.6417084602156553</c:v>
                </c:pt>
                <c:pt idx="7">
                  <c:v>1.784152421490472</c:v>
                </c:pt>
                <c:pt idx="8">
                  <c:v>1.9040608331615552</c:v>
                </c:pt>
                <c:pt idx="9">
                  <c:v>2.0007873228036486</c:v>
                </c:pt>
                <c:pt idx="10">
                  <c:v>2.0849778319227603</c:v>
                </c:pt>
                <c:pt idx="11">
                  <c:v>2.1184746824749485</c:v>
                </c:pt>
                <c:pt idx="12">
                  <c:v>2.150174141108915</c:v>
                </c:pt>
                <c:pt idx="13">
                  <c:v>2.2087300856901426</c:v>
                </c:pt>
              </c:numCache>
            </c:numRef>
          </c:xVal>
          <c:yVal>
            <c:numRef>
              <c:f>'VDO 360-081-029-033C 10B pressu'!$G$2:$G$27</c:f>
              <c:numCache>
                <c:formatCode>0.0000</c:formatCode>
                <c:ptCount val="2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39-4018-870A-38F95E482B0F}"/>
            </c:ext>
          </c:extLst>
        </c:ser>
        <c:ser>
          <c:idx val="1"/>
          <c:order val="1"/>
          <c:tx>
            <c:v>Alt voltage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7.8203651436466126E-2"/>
                  <c:y val="0.24879080339766255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360-081-029-033C 10B pressu'!$F$2:$F$27</c:f>
              <c:numCache>
                <c:formatCode>0.0000</c:formatCode>
                <c:ptCount val="26"/>
                <c:pt idx="0">
                  <c:v>0.17401725790987535</c:v>
                </c:pt>
                <c:pt idx="1">
                  <c:v>0.33602221634488233</c:v>
                </c:pt>
                <c:pt idx="2">
                  <c:v>0.46221145157315369</c:v>
                </c:pt>
                <c:pt idx="3">
                  <c:v>0.58253094910591452</c:v>
                </c:pt>
                <c:pt idx="4">
                  <c:v>0.67821212992239144</c:v>
                </c:pt>
                <c:pt idx="5">
                  <c:v>0.83176273155618663</c:v>
                </c:pt>
                <c:pt idx="6">
                  <c:v>0.9569420035149383</c:v>
                </c:pt>
                <c:pt idx="7">
                  <c:v>1.0508359937232834</c:v>
                </c:pt>
                <c:pt idx="8">
                  <c:v>1.1314096119042831</c:v>
                </c:pt>
                <c:pt idx="9">
                  <c:v>1.1974552309142317</c:v>
                </c:pt>
                <c:pt idx="10">
                  <c:v>1.2557211282597127</c:v>
                </c:pt>
                <c:pt idx="11">
                  <c:v>1.2791084785334428</c:v>
                </c:pt>
                <c:pt idx="12">
                  <c:v>1.301349641501476</c:v>
                </c:pt>
                <c:pt idx="13">
                  <c:v>1.3427146992602124</c:v>
                </c:pt>
              </c:numCache>
            </c:numRef>
          </c:xVal>
          <c:yVal>
            <c:numRef>
              <c:f>'VDO 360-081-029-033C 10B pressu'!$G$2:$G$27</c:f>
              <c:numCache>
                <c:formatCode>0.0000</c:formatCode>
                <c:ptCount val="2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39-4018-870A-38F95E482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'Bosch 0261230340 oil + press'!$G$1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4.7691864078829353E-2"/>
                  <c:y val="-0.37605400511636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0261230340 oil + press'!$D$2:$D$20</c:f>
              <c:numCache>
                <c:formatCode>0.0000</c:formatCode>
                <c:ptCount val="19"/>
                <c:pt idx="0">
                  <c:v>0.22135460397425133</c:v>
                </c:pt>
                <c:pt idx="1">
                  <c:v>0.27219928433801266</c:v>
                </c:pt>
                <c:pt idx="2">
                  <c:v>0.33583939638911342</c:v>
                </c:pt>
                <c:pt idx="3">
                  <c:v>0.41664482306684136</c:v>
                </c:pt>
                <c:pt idx="4">
                  <c:v>0.5189448845440755</c:v>
                </c:pt>
                <c:pt idx="5">
                  <c:v>0.64726688102893881</c:v>
                </c:pt>
                <c:pt idx="6">
                  <c:v>0.80642285023424487</c:v>
                </c:pt>
                <c:pt idx="7">
                  <c:v>1.000188166422747</c:v>
                </c:pt>
                <c:pt idx="8">
                  <c:v>1.2297365119196988</c:v>
                </c:pt>
                <c:pt idx="9">
                  <c:v>1.4907894736842104</c:v>
                </c:pt>
                <c:pt idx="10">
                  <c:v>1.7771573604060913</c:v>
                </c:pt>
                <c:pt idx="11">
                  <c:v>2.0700335445396942</c:v>
                </c:pt>
                <c:pt idx="12">
                  <c:v>2.3517241379310345</c:v>
                </c:pt>
                <c:pt idx="13">
                  <c:v>2.6037974683544305</c:v>
                </c:pt>
                <c:pt idx="14">
                  <c:v>2.813561320754717</c:v>
                </c:pt>
                <c:pt idx="15">
                  <c:v>2.9763119176066701</c:v>
                </c:pt>
                <c:pt idx="16">
                  <c:v>3.0946100703304911</c:v>
                </c:pt>
                <c:pt idx="17">
                  <c:v>3.1755843764138136</c:v>
                </c:pt>
                <c:pt idx="18">
                  <c:v>3.2280481423338561</c:v>
                </c:pt>
              </c:numCache>
            </c:numRef>
          </c:xVal>
          <c:yVal>
            <c:numRef>
              <c:f>'Bosch 0261230340 oil + press'!$G$2:$G$20</c:f>
              <c:numCache>
                <c:formatCode>0.0000</c:formatCode>
                <c:ptCount val="19"/>
                <c:pt idx="0">
                  <c:v>140</c:v>
                </c:pt>
                <c:pt idx="1">
                  <c:v>130</c:v>
                </c:pt>
                <c:pt idx="2">
                  <c:v>120</c:v>
                </c:pt>
                <c:pt idx="3">
                  <c:v>110</c:v>
                </c:pt>
                <c:pt idx="4">
                  <c:v>100</c:v>
                </c:pt>
                <c:pt idx="5">
                  <c:v>90</c:v>
                </c:pt>
                <c:pt idx="6">
                  <c:v>80</c:v>
                </c:pt>
                <c:pt idx="7">
                  <c:v>70</c:v>
                </c:pt>
                <c:pt idx="8">
                  <c:v>60</c:v>
                </c:pt>
                <c:pt idx="9">
                  <c:v>50</c:v>
                </c:pt>
                <c:pt idx="10">
                  <c:v>40</c:v>
                </c:pt>
                <c:pt idx="11">
                  <c:v>30</c:v>
                </c:pt>
                <c:pt idx="12">
                  <c:v>20</c:v>
                </c:pt>
                <c:pt idx="13">
                  <c:v>10</c:v>
                </c:pt>
                <c:pt idx="14">
                  <c:v>0</c:v>
                </c:pt>
                <c:pt idx="15">
                  <c:v>-10</c:v>
                </c:pt>
                <c:pt idx="16">
                  <c:v>-20</c:v>
                </c:pt>
                <c:pt idx="17">
                  <c:v>-30</c:v>
                </c:pt>
                <c:pt idx="18">
                  <c:v>-40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A8-49CF-9B3E-75189B19BC0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16155004942814702"/>
                  <c:y val="-0.67617752582772717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0261230340 oil + press'!$F$2:$F$20</c:f>
              <c:numCache>
                <c:formatCode>0.0000</c:formatCode>
                <c:ptCount val="19"/>
                <c:pt idx="0">
                  <c:v>0.27491469383262346</c:v>
                </c:pt>
                <c:pt idx="1">
                  <c:v>0.33206022399058982</c:v>
                </c:pt>
                <c:pt idx="2">
                  <c:v>0.4007897315409753</c:v>
                </c:pt>
                <c:pt idx="3">
                  <c:v>0.48386717371701882</c:v>
                </c:pt>
                <c:pt idx="4">
                  <c:v>0.58285254052212165</c:v>
                </c:pt>
                <c:pt idx="5">
                  <c:v>0.69817597073985904</c:v>
                </c:pt>
                <c:pt idx="6">
                  <c:v>0.82910953897395789</c:v>
                </c:pt>
                <c:pt idx="7">
                  <c:v>0.97285300567343058</c:v>
                </c:pt>
                <c:pt idx="8">
                  <c:v>1.1242784964570069</c:v>
                </c:pt>
                <c:pt idx="9">
                  <c:v>1.2757920597819594</c:v>
                </c:pt>
                <c:pt idx="10">
                  <c:v>1.4211726105707054</c:v>
                </c:pt>
                <c:pt idx="11">
                  <c:v>1.5513825033995983</c:v>
                </c:pt>
                <c:pt idx="12">
                  <c:v>1.6620633631194153</c:v>
                </c:pt>
                <c:pt idx="13">
                  <c:v>1.7509318131988596</c:v>
                </c:pt>
                <c:pt idx="14">
                  <c:v>1.8185654446996704</c:v>
                </c:pt>
                <c:pt idx="15">
                  <c:v>1.8675299933278222</c:v>
                </c:pt>
                <c:pt idx="16">
                  <c:v>1.9013616586798987</c:v>
                </c:pt>
                <c:pt idx="17">
                  <c:v>1.9237190691115296</c:v>
                </c:pt>
                <c:pt idx="18">
                  <c:v>1.9378724473671181</c:v>
                </c:pt>
              </c:numCache>
            </c:numRef>
          </c:xVal>
          <c:yVal>
            <c:numRef>
              <c:f>'Bosch 0261230340 oil + press'!$G$2:$G$20</c:f>
              <c:numCache>
                <c:formatCode>0.0000</c:formatCode>
                <c:ptCount val="19"/>
                <c:pt idx="0">
                  <c:v>140</c:v>
                </c:pt>
                <c:pt idx="1">
                  <c:v>130</c:v>
                </c:pt>
                <c:pt idx="2">
                  <c:v>120</c:v>
                </c:pt>
                <c:pt idx="3">
                  <c:v>110</c:v>
                </c:pt>
                <c:pt idx="4">
                  <c:v>100</c:v>
                </c:pt>
                <c:pt idx="5">
                  <c:v>90</c:v>
                </c:pt>
                <c:pt idx="6">
                  <c:v>80</c:v>
                </c:pt>
                <c:pt idx="7">
                  <c:v>70</c:v>
                </c:pt>
                <c:pt idx="8">
                  <c:v>60</c:v>
                </c:pt>
                <c:pt idx="9">
                  <c:v>50</c:v>
                </c:pt>
                <c:pt idx="10">
                  <c:v>40</c:v>
                </c:pt>
                <c:pt idx="11">
                  <c:v>30</c:v>
                </c:pt>
                <c:pt idx="12">
                  <c:v>20</c:v>
                </c:pt>
                <c:pt idx="13">
                  <c:v>10</c:v>
                </c:pt>
                <c:pt idx="14">
                  <c:v>0</c:v>
                </c:pt>
                <c:pt idx="15">
                  <c:v>-10</c:v>
                </c:pt>
                <c:pt idx="16">
                  <c:v>-20</c:v>
                </c:pt>
                <c:pt idx="17">
                  <c:v>-30</c:v>
                </c:pt>
                <c:pt idx="18">
                  <c:v>-40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A8-49CF-9B3E-75189B19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'Bosch 0280130023 oil temp'!$G$1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7344177327993283"/>
                  <c:y val="-5.9851104972221618E-2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0280130023 oil temp'!$D$2:$D$20</c:f>
              <c:numCache>
                <c:formatCode>0.0000</c:formatCode>
                <c:ptCount val="19"/>
                <c:pt idx="0">
                  <c:v>0.24444444444444444</c:v>
                </c:pt>
                <c:pt idx="1">
                  <c:v>0.27802197802197798</c:v>
                </c:pt>
                <c:pt idx="2">
                  <c:v>0.30815956482320939</c:v>
                </c:pt>
                <c:pt idx="3">
                  <c:v>0.34035874439461883</c:v>
                </c:pt>
                <c:pt idx="4">
                  <c:v>0.40526315789473683</c:v>
                </c:pt>
                <c:pt idx="5">
                  <c:v>0.48909710391822825</c:v>
                </c:pt>
                <c:pt idx="6">
                  <c:v>0.5972972972972973</c:v>
                </c:pt>
                <c:pt idx="7">
                  <c:v>0.7615384615384615</c:v>
                </c:pt>
                <c:pt idx="8">
                  <c:v>0.94117226590421721</c:v>
                </c:pt>
                <c:pt idx="9">
                  <c:v>1.1640776699029127</c:v>
                </c:pt>
                <c:pt idx="10">
                  <c:v>1.4450252951096121</c:v>
                </c:pt>
                <c:pt idx="11">
                  <c:v>1.7521575984990618</c:v>
                </c:pt>
                <c:pt idx="12">
                  <c:v>2.0556561085972849</c:v>
                </c:pt>
                <c:pt idx="13">
                  <c:v>2.3568733923978278</c:v>
                </c:pt>
                <c:pt idx="14">
                  <c:v>2.6048240994312195</c:v>
                </c:pt>
                <c:pt idx="15">
                  <c:v>2.8309168443496802</c:v>
                </c:pt>
                <c:pt idx="16">
                  <c:v>2.9711181981263701</c:v>
                </c:pt>
                <c:pt idx="17">
                  <c:v>3.0745285597157692</c:v>
                </c:pt>
                <c:pt idx="18">
                  <c:v>3.1459743290548423</c:v>
                </c:pt>
              </c:numCache>
            </c:numRef>
          </c:xVal>
          <c:yVal>
            <c:numRef>
              <c:f>'Bosch 0280130023 oil temp'!$G$2:$G$20</c:f>
              <c:numCache>
                <c:formatCode>0.0000</c:formatCode>
                <c:ptCount val="19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  <c:pt idx="16">
                  <c:v>-10</c:v>
                </c:pt>
                <c:pt idx="17">
                  <c:v>-20</c:v>
                </c:pt>
                <c:pt idx="18">
                  <c:v>-30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AC-44B3-8FF8-70DA02A789DC}"/>
            </c:ext>
          </c:extLst>
        </c:ser>
        <c:ser>
          <c:idx val="1"/>
          <c:order val="1"/>
          <c:tx>
            <c:v>Alt voltage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5.1705610500820842E-2"/>
                  <c:y val="-0.3697533828497424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0280130023 oil temp'!$F$2:$F$20</c:f>
              <c:numCache>
                <c:formatCode>0.0000</c:formatCode>
                <c:ptCount val="19"/>
                <c:pt idx="0">
                  <c:v>0.1642533936651584</c:v>
                </c:pt>
                <c:pt idx="1">
                  <c:v>0.18623689493642651</c:v>
                </c:pt>
                <c:pt idx="2">
                  <c:v>0.20585255739690581</c:v>
                </c:pt>
                <c:pt idx="3">
                  <c:v>0.22669019820798261</c:v>
                </c:pt>
                <c:pt idx="4">
                  <c:v>0.26832101372756068</c:v>
                </c:pt>
                <c:pt idx="5">
                  <c:v>0.32136969573623686</c:v>
                </c:pt>
                <c:pt idx="6">
                  <c:v>0.38865849522794443</c:v>
                </c:pt>
                <c:pt idx="7">
                  <c:v>0.48834080717488787</c:v>
                </c:pt>
                <c:pt idx="8">
                  <c:v>0.59410558267361258</c:v>
                </c:pt>
                <c:pt idx="9">
                  <c:v>0.7208416833667336</c:v>
                </c:pt>
                <c:pt idx="10">
                  <c:v>0.87387434716771228</c:v>
                </c:pt>
                <c:pt idx="11">
                  <c:v>1.0331791209896408</c:v>
                </c:pt>
                <c:pt idx="12">
                  <c:v>1.1829795628501538</c:v>
                </c:pt>
                <c:pt idx="13">
                  <c:v>1.324693701718775</c:v>
                </c:pt>
                <c:pt idx="14">
                  <c:v>1.4364812487458678</c:v>
                </c:pt>
                <c:pt idx="15">
                  <c:v>1.5348057589238799</c:v>
                </c:pt>
                <c:pt idx="16">
                  <c:v>1.5941267973983297</c:v>
                </c:pt>
                <c:pt idx="17">
                  <c:v>1.6370993133921601</c:v>
                </c:pt>
                <c:pt idx="18">
                  <c:v>1.6664100691127717</c:v>
                </c:pt>
              </c:numCache>
            </c:numRef>
          </c:xVal>
          <c:yVal>
            <c:numRef>
              <c:f>'Bosch 0280130023 oil temp'!$G$2:$G$20</c:f>
              <c:numCache>
                <c:formatCode>0.0000</c:formatCode>
                <c:ptCount val="19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  <c:pt idx="16">
                  <c:v>-10</c:v>
                </c:pt>
                <c:pt idx="17">
                  <c:v>-20</c:v>
                </c:pt>
                <c:pt idx="18">
                  <c:v>-30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AC-44B3-8FF8-70DA02A78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'VDO A2C1755410001 oil temp'!$G$1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4150593585790817"/>
                  <c:y val="1.1165405410206622E-2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A2C1755410001 oil temp'!$D$2:$D$46</c:f>
              <c:numCache>
                <c:formatCode>0.0000</c:formatCode>
                <c:ptCount val="45"/>
                <c:pt idx="0">
                  <c:v>3.3449477351916376E-2</c:v>
                </c:pt>
                <c:pt idx="1">
                  <c:v>3.6711990111248455E-2</c:v>
                </c:pt>
                <c:pt idx="2">
                  <c:v>4.0354412374799975E-2</c:v>
                </c:pt>
                <c:pt idx="3">
                  <c:v>4.447053252569895E-2</c:v>
                </c:pt>
                <c:pt idx="4">
                  <c:v>4.9120784939563192E-2</c:v>
                </c:pt>
                <c:pt idx="5">
                  <c:v>5.4332474378897253E-2</c:v>
                </c:pt>
                <c:pt idx="6">
                  <c:v>6.0227373133449169E-2</c:v>
                </c:pt>
                <c:pt idx="7">
                  <c:v>6.6797954264887424E-2</c:v>
                </c:pt>
                <c:pt idx="8">
                  <c:v>7.4193548387096769E-2</c:v>
                </c:pt>
                <c:pt idx="9">
                  <c:v>8.2684995612752249E-2</c:v>
                </c:pt>
                <c:pt idx="10">
                  <c:v>9.241064919664467E-2</c:v>
                </c:pt>
                <c:pt idx="11">
                  <c:v>0.10350258625699837</c:v>
                </c:pt>
                <c:pt idx="12">
                  <c:v>0.11623911009059246</c:v>
                </c:pt>
                <c:pt idx="13">
                  <c:v>0.13124963991473182</c:v>
                </c:pt>
                <c:pt idx="14">
                  <c:v>0.14885986020396469</c:v>
                </c:pt>
                <c:pt idx="15">
                  <c:v>0.16907020872865275</c:v>
                </c:pt>
                <c:pt idx="16">
                  <c:v>0.19265536723163842</c:v>
                </c:pt>
                <c:pt idx="17">
                  <c:v>0.21876750700280109</c:v>
                </c:pt>
                <c:pt idx="18">
                  <c:v>0.25009242144177446</c:v>
                </c:pt>
                <c:pt idx="19">
                  <c:v>0.2890510948905109</c:v>
                </c:pt>
                <c:pt idx="20">
                  <c:v>0.33237410071942441</c:v>
                </c:pt>
                <c:pt idx="21">
                  <c:v>0.38222811671087531</c:v>
                </c:pt>
                <c:pt idx="22">
                  <c:v>0.44285714285714284</c:v>
                </c:pt>
                <c:pt idx="23">
                  <c:v>0.51283783783783776</c:v>
                </c:pt>
                <c:pt idx="24">
                  <c:v>0.5972972972972973</c:v>
                </c:pt>
                <c:pt idx="25">
                  <c:v>0.6933649289099526</c:v>
                </c:pt>
                <c:pt idx="26">
                  <c:v>0.80378214826021177</c:v>
                </c:pt>
                <c:pt idx="27">
                  <c:v>0.92931034482758612</c:v>
                </c:pt>
                <c:pt idx="28">
                  <c:v>1.0717758271438218</c:v>
                </c:pt>
                <c:pt idx="29">
                  <c:v>1.2297365119196988</c:v>
                </c:pt>
                <c:pt idx="30">
                  <c:v>1.4023576768257617</c:v>
                </c:pt>
                <c:pt idx="31">
                  <c:v>1.5857142857142856</c:v>
                </c:pt>
                <c:pt idx="32">
                  <c:v>1.7708063021316032</c:v>
                </c:pt>
                <c:pt idx="33">
                  <c:v>1.9778846153846155</c:v>
                </c:pt>
                <c:pt idx="34">
                  <c:v>2.1640275387263337</c:v>
                </c:pt>
                <c:pt idx="35">
                  <c:v>2.3498128419234092</c:v>
                </c:pt>
                <c:pt idx="36">
                  <c:v>2.5216981132075471</c:v>
                </c:pt>
                <c:pt idx="37">
                  <c:v>2.6754731264193792</c:v>
                </c:pt>
                <c:pt idx="38">
                  <c:v>2.8089285714285714</c:v>
                </c:pt>
                <c:pt idx="39">
                  <c:v>2.9216030271757827</c:v>
                </c:pt>
                <c:pt idx="40">
                  <c:v>3.0140381282495667</c:v>
                </c:pt>
                <c:pt idx="41">
                  <c:v>3.0818470284921</c:v>
                </c:pt>
                <c:pt idx="42">
                  <c:v>3.1362201598094197</c:v>
                </c:pt>
                <c:pt idx="43">
                  <c:v>3.1790499926696962</c:v>
                </c:pt>
                <c:pt idx="44">
                  <c:v>3.2121475920453637</c:v>
                </c:pt>
              </c:numCache>
            </c:numRef>
          </c:xVal>
          <c:yVal>
            <c:numRef>
              <c:f>'VDO A2C1755410001 oil temp'!$G$2:$G$46</c:f>
              <c:numCache>
                <c:formatCode>0.0000</c:formatCode>
                <c:ptCount val="45"/>
                <c:pt idx="0">
                  <c:v>180</c:v>
                </c:pt>
                <c:pt idx="1">
                  <c:v>175</c:v>
                </c:pt>
                <c:pt idx="2">
                  <c:v>170</c:v>
                </c:pt>
                <c:pt idx="3">
                  <c:v>165</c:v>
                </c:pt>
                <c:pt idx="4">
                  <c:v>160</c:v>
                </c:pt>
                <c:pt idx="5">
                  <c:v>155</c:v>
                </c:pt>
                <c:pt idx="6">
                  <c:v>150</c:v>
                </c:pt>
                <c:pt idx="7">
                  <c:v>145</c:v>
                </c:pt>
                <c:pt idx="8">
                  <c:v>140</c:v>
                </c:pt>
                <c:pt idx="9">
                  <c:v>135</c:v>
                </c:pt>
                <c:pt idx="10">
                  <c:v>130</c:v>
                </c:pt>
                <c:pt idx="11">
                  <c:v>125</c:v>
                </c:pt>
                <c:pt idx="12">
                  <c:v>120</c:v>
                </c:pt>
                <c:pt idx="13">
                  <c:v>115</c:v>
                </c:pt>
                <c:pt idx="14">
                  <c:v>110</c:v>
                </c:pt>
                <c:pt idx="15">
                  <c:v>105</c:v>
                </c:pt>
                <c:pt idx="16">
                  <c:v>100</c:v>
                </c:pt>
                <c:pt idx="17">
                  <c:v>95</c:v>
                </c:pt>
                <c:pt idx="18">
                  <c:v>90</c:v>
                </c:pt>
                <c:pt idx="19">
                  <c:v>85</c:v>
                </c:pt>
                <c:pt idx="20">
                  <c:v>80</c:v>
                </c:pt>
                <c:pt idx="21">
                  <c:v>75</c:v>
                </c:pt>
                <c:pt idx="22">
                  <c:v>70</c:v>
                </c:pt>
                <c:pt idx="23">
                  <c:v>65</c:v>
                </c:pt>
                <c:pt idx="24">
                  <c:v>60</c:v>
                </c:pt>
                <c:pt idx="25">
                  <c:v>55</c:v>
                </c:pt>
                <c:pt idx="26">
                  <c:v>50</c:v>
                </c:pt>
                <c:pt idx="27">
                  <c:v>45</c:v>
                </c:pt>
                <c:pt idx="28">
                  <c:v>40</c:v>
                </c:pt>
                <c:pt idx="29">
                  <c:v>35</c:v>
                </c:pt>
                <c:pt idx="30">
                  <c:v>30</c:v>
                </c:pt>
                <c:pt idx="31">
                  <c:v>25</c:v>
                </c:pt>
                <c:pt idx="32">
                  <c:v>20</c:v>
                </c:pt>
                <c:pt idx="33">
                  <c:v>15</c:v>
                </c:pt>
                <c:pt idx="34">
                  <c:v>10</c:v>
                </c:pt>
                <c:pt idx="35">
                  <c:v>5</c:v>
                </c:pt>
                <c:pt idx="36">
                  <c:v>0</c:v>
                </c:pt>
                <c:pt idx="37">
                  <c:v>-5</c:v>
                </c:pt>
                <c:pt idx="38">
                  <c:v>-10</c:v>
                </c:pt>
                <c:pt idx="39">
                  <c:v>-15</c:v>
                </c:pt>
                <c:pt idx="40">
                  <c:v>-20</c:v>
                </c:pt>
                <c:pt idx="41">
                  <c:v>-25</c:v>
                </c:pt>
                <c:pt idx="42">
                  <c:v>-30</c:v>
                </c:pt>
                <c:pt idx="43">
                  <c:v>-35</c:v>
                </c:pt>
                <c:pt idx="44">
                  <c:v>-40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EC-4DD5-BC7C-7F70FEDE4857}"/>
            </c:ext>
          </c:extLst>
        </c:ser>
        <c:ser>
          <c:idx val="1"/>
          <c:order val="1"/>
          <c:tx>
            <c:v>Alt Temp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21129059242490977"/>
                  <c:y val="-0.27262657769960746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A2C1755410001 oil temp'!$F$2:$F$46</c:f>
              <c:numCache>
                <c:formatCode>0.0000</c:formatCode>
                <c:ptCount val="45"/>
                <c:pt idx="0">
                  <c:v>2.2923902747079256E-2</c:v>
                </c:pt>
                <c:pt idx="1">
                  <c:v>2.5152051736084379E-2</c:v>
                </c:pt>
                <c:pt idx="2">
                  <c:v>2.7638041375204644E-2</c:v>
                </c:pt>
                <c:pt idx="3">
                  <c:v>3.0445279200533436E-2</c:v>
                </c:pt>
                <c:pt idx="4">
                  <c:v>3.361418027848953E-2</c:v>
                </c:pt>
                <c:pt idx="5">
                  <c:v>3.7162371250658958E-2</c:v>
                </c:pt>
                <c:pt idx="6">
                  <c:v>4.1171503545675232E-2</c:v>
                </c:pt>
                <c:pt idx="7">
                  <c:v>4.5634926913092844E-2</c:v>
                </c:pt>
                <c:pt idx="8">
                  <c:v>5.0652187101862527E-2</c:v>
                </c:pt>
                <c:pt idx="9">
                  <c:v>5.6404287864955223E-2</c:v>
                </c:pt>
                <c:pt idx="10">
                  <c:v>6.2981172549730471E-2</c:v>
                </c:pt>
                <c:pt idx="11">
                  <c:v>7.0467350680276597E-2</c:v>
                </c:pt>
                <c:pt idx="12">
                  <c:v>7.9044308632999549E-2</c:v>
                </c:pt>
                <c:pt idx="13">
                  <c:v>8.9126380720126241E-2</c:v>
                </c:pt>
                <c:pt idx="14">
                  <c:v>0.10091854774353166</c:v>
                </c:pt>
                <c:pt idx="15">
                  <c:v>0.11440410878954126</c:v>
                </c:pt>
                <c:pt idx="16">
                  <c:v>0.13007744769390819</c:v>
                </c:pt>
                <c:pt idx="17">
                  <c:v>0.147350065748099</c:v>
                </c:pt>
                <c:pt idx="18">
                  <c:v>0.16796072678027307</c:v>
                </c:pt>
                <c:pt idx="19">
                  <c:v>0.19342806394316167</c:v>
                </c:pt>
                <c:pt idx="20">
                  <c:v>0.22153443766346995</c:v>
                </c:pt>
                <c:pt idx="21">
                  <c:v>0.25360247453469142</c:v>
                </c:pt>
                <c:pt idx="22">
                  <c:v>0.2922098156323033</c:v>
                </c:pt>
                <c:pt idx="23">
                  <c:v>0.33624647603705199</c:v>
                </c:pt>
                <c:pt idx="24">
                  <c:v>0.38865849522794443</c:v>
                </c:pt>
                <c:pt idx="25">
                  <c:v>0.44731770592050396</c:v>
                </c:pt>
                <c:pt idx="26">
                  <c:v>0.51351375098848961</c:v>
                </c:pt>
                <c:pt idx="27">
                  <c:v>0.5872235061076263</c:v>
                </c:pt>
                <c:pt idx="28">
                  <c:v>0.66895138117313513</c:v>
                </c:pt>
                <c:pt idx="29">
                  <c:v>0.75725925405633188</c:v>
                </c:pt>
                <c:pt idx="30">
                  <c:v>0.85109616421840784</c:v>
                </c:pt>
                <c:pt idx="31">
                  <c:v>0.94784756527875802</c:v>
                </c:pt>
                <c:pt idx="32">
                  <c:v>1.0425963589463763</c:v>
                </c:pt>
                <c:pt idx="33">
                  <c:v>1.1452842922220348</c:v>
                </c:pt>
                <c:pt idx="34">
                  <c:v>1.2347379698241228</c:v>
                </c:pt>
                <c:pt idx="35">
                  <c:v>1.3214476027850972</c:v>
                </c:pt>
                <c:pt idx="36">
                  <c:v>1.3994764397905757</c:v>
                </c:pt>
                <c:pt idx="37">
                  <c:v>1.467566343286399</c:v>
                </c:pt>
                <c:pt idx="38">
                  <c:v>1.525389362327358</c:v>
                </c:pt>
                <c:pt idx="39">
                  <c:v>1.5733172037880103</c:v>
                </c:pt>
                <c:pt idx="40">
                  <c:v>1.6120417965787477</c:v>
                </c:pt>
                <c:pt idx="41">
                  <c:v>1.6401158420939848</c:v>
                </c:pt>
                <c:pt idx="42">
                  <c:v>1.6624264282075627</c:v>
                </c:pt>
                <c:pt idx="43">
                  <c:v>1.6798761893359437</c:v>
                </c:pt>
                <c:pt idx="44">
                  <c:v>1.6932864945274633</c:v>
                </c:pt>
              </c:numCache>
            </c:numRef>
          </c:xVal>
          <c:yVal>
            <c:numRef>
              <c:f>'VDO A2C1755410001 oil temp'!$G$2:$G$46</c:f>
              <c:numCache>
                <c:formatCode>0.0000</c:formatCode>
                <c:ptCount val="45"/>
                <c:pt idx="0">
                  <c:v>180</c:v>
                </c:pt>
                <c:pt idx="1">
                  <c:v>175</c:v>
                </c:pt>
                <c:pt idx="2">
                  <c:v>170</c:v>
                </c:pt>
                <c:pt idx="3">
                  <c:v>165</c:v>
                </c:pt>
                <c:pt idx="4">
                  <c:v>160</c:v>
                </c:pt>
                <c:pt idx="5">
                  <c:v>155</c:v>
                </c:pt>
                <c:pt idx="6">
                  <c:v>150</c:v>
                </c:pt>
                <c:pt idx="7">
                  <c:v>145</c:v>
                </c:pt>
                <c:pt idx="8">
                  <c:v>140</c:v>
                </c:pt>
                <c:pt idx="9">
                  <c:v>135</c:v>
                </c:pt>
                <c:pt idx="10">
                  <c:v>130</c:v>
                </c:pt>
                <c:pt idx="11">
                  <c:v>125</c:v>
                </c:pt>
                <c:pt idx="12">
                  <c:v>120</c:v>
                </c:pt>
                <c:pt idx="13">
                  <c:v>115</c:v>
                </c:pt>
                <c:pt idx="14">
                  <c:v>110</c:v>
                </c:pt>
                <c:pt idx="15">
                  <c:v>105</c:v>
                </c:pt>
                <c:pt idx="16">
                  <c:v>100</c:v>
                </c:pt>
                <c:pt idx="17">
                  <c:v>95</c:v>
                </c:pt>
                <c:pt idx="18">
                  <c:v>90</c:v>
                </c:pt>
                <c:pt idx="19">
                  <c:v>85</c:v>
                </c:pt>
                <c:pt idx="20">
                  <c:v>80</c:v>
                </c:pt>
                <c:pt idx="21">
                  <c:v>75</c:v>
                </c:pt>
                <c:pt idx="22">
                  <c:v>70</c:v>
                </c:pt>
                <c:pt idx="23">
                  <c:v>65</c:v>
                </c:pt>
                <c:pt idx="24">
                  <c:v>60</c:v>
                </c:pt>
                <c:pt idx="25">
                  <c:v>55</c:v>
                </c:pt>
                <c:pt idx="26">
                  <c:v>50</c:v>
                </c:pt>
                <c:pt idx="27">
                  <c:v>45</c:v>
                </c:pt>
                <c:pt idx="28">
                  <c:v>40</c:v>
                </c:pt>
                <c:pt idx="29">
                  <c:v>35</c:v>
                </c:pt>
                <c:pt idx="30">
                  <c:v>30</c:v>
                </c:pt>
                <c:pt idx="31">
                  <c:v>25</c:v>
                </c:pt>
                <c:pt idx="32">
                  <c:v>20</c:v>
                </c:pt>
                <c:pt idx="33">
                  <c:v>15</c:v>
                </c:pt>
                <c:pt idx="34">
                  <c:v>10</c:v>
                </c:pt>
                <c:pt idx="35">
                  <c:v>5</c:v>
                </c:pt>
                <c:pt idx="36">
                  <c:v>0</c:v>
                </c:pt>
                <c:pt idx="37">
                  <c:v>-5</c:v>
                </c:pt>
                <c:pt idx="38">
                  <c:v>-10</c:v>
                </c:pt>
                <c:pt idx="39">
                  <c:v>-15</c:v>
                </c:pt>
                <c:pt idx="40">
                  <c:v>-20</c:v>
                </c:pt>
                <c:pt idx="41">
                  <c:v>-25</c:v>
                </c:pt>
                <c:pt idx="42">
                  <c:v>-30</c:v>
                </c:pt>
                <c:pt idx="43">
                  <c:v>-35</c:v>
                </c:pt>
                <c:pt idx="44">
                  <c:v>-40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CD-4A60-8AE0-57D473384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'VDO 323-801-001-00 coolant temp'!$G$1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2300853806277511"/>
                  <c:y val="2.429463878289596E-2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323-801-001-00 coolant temp'!$D$2:$D$39</c:f>
              <c:numCache>
                <c:formatCode>0.0000</c:formatCode>
                <c:ptCount val="38"/>
                <c:pt idx="0">
                  <c:v>3.5775896177890322E-2</c:v>
                </c:pt>
                <c:pt idx="1">
                  <c:v>3.996799241301642E-2</c:v>
                </c:pt>
                <c:pt idx="2">
                  <c:v>4.4759556103575834E-2</c:v>
                </c:pt>
                <c:pt idx="3">
                  <c:v>5.0241269966320681E-2</c:v>
                </c:pt>
                <c:pt idx="4">
                  <c:v>5.6565497719767259E-2</c:v>
                </c:pt>
                <c:pt idx="5">
                  <c:v>6.391272370679088E-2</c:v>
                </c:pt>
                <c:pt idx="6">
                  <c:v>7.2426743867610818E-2</c:v>
                </c:pt>
                <c:pt idx="7">
                  <c:v>8.2151667918052132E-2</c:v>
                </c:pt>
                <c:pt idx="8">
                  <c:v>9.3376865671641801E-2</c:v>
                </c:pt>
                <c:pt idx="9">
                  <c:v>0.10665763499129086</c:v>
                </c:pt>
                <c:pt idx="10">
                  <c:v>0.12224811501535912</c:v>
                </c:pt>
                <c:pt idx="11">
                  <c:v>0.14004902711812472</c:v>
                </c:pt>
                <c:pt idx="12">
                  <c:v>0.16076045699717467</c:v>
                </c:pt>
                <c:pt idx="13">
                  <c:v>0.18599926396346236</c:v>
                </c:pt>
                <c:pt idx="14">
                  <c:v>0.21623369341756069</c:v>
                </c:pt>
                <c:pt idx="15">
                  <c:v>0.25110684060756128</c:v>
                </c:pt>
                <c:pt idx="16">
                  <c:v>0.29193291098856022</c:v>
                </c:pt>
                <c:pt idx="17">
                  <c:v>0.33759560486911555</c:v>
                </c:pt>
                <c:pt idx="18">
                  <c:v>0.38994708994708993</c:v>
                </c:pt>
                <c:pt idx="19">
                  <c:v>0.45874847175107192</c:v>
                </c:pt>
                <c:pt idx="20">
                  <c:v>0.54377552639711346</c:v>
                </c:pt>
                <c:pt idx="21">
                  <c:v>0.63776501339184877</c:v>
                </c:pt>
                <c:pt idx="22">
                  <c:v>0.74475245071469487</c:v>
                </c:pt>
                <c:pt idx="23">
                  <c:v>0.86751975468805276</c:v>
                </c:pt>
                <c:pt idx="24">
                  <c:v>1.0072028569641975</c:v>
                </c:pt>
                <c:pt idx="25">
                  <c:v>1.1620573486919676</c:v>
                </c:pt>
                <c:pt idx="26">
                  <c:v>1.3321416857986224</c:v>
                </c:pt>
                <c:pt idx="27">
                  <c:v>1.5163029906653189</c:v>
                </c:pt>
                <c:pt idx="28">
                  <c:v>1.7096385542168675</c:v>
                </c:pt>
                <c:pt idx="29">
                  <c:v>1.9040609137055837</c:v>
                </c:pt>
                <c:pt idx="30">
                  <c:v>2.0969376594969011</c:v>
                </c:pt>
                <c:pt idx="31">
                  <c:v>2.2843028624192057</c:v>
                </c:pt>
                <c:pt idx="32">
                  <c:v>2.4600916263680324</c:v>
                </c:pt>
                <c:pt idx="33">
                  <c:v>2.6171942892613282</c:v>
                </c:pt>
                <c:pt idx="34">
                  <c:v>2.7560738420965878</c:v>
                </c:pt>
                <c:pt idx="35">
                  <c:v>2.8749613601236472</c:v>
                </c:pt>
                <c:pt idx="36">
                  <c:v>2.9743635287152159</c:v>
                </c:pt>
                <c:pt idx="37">
                  <c:v>3.0544460153285211</c:v>
                </c:pt>
              </c:numCache>
            </c:numRef>
          </c:xVal>
          <c:yVal>
            <c:numRef>
              <c:f>'VDO 323-801-001-00 coolant temp'!$G$2:$G$39</c:f>
              <c:numCache>
                <c:formatCode>0.0000</c:formatCode>
                <c:ptCount val="38"/>
                <c:pt idx="0">
                  <c:v>150</c:v>
                </c:pt>
                <c:pt idx="1">
                  <c:v>145</c:v>
                </c:pt>
                <c:pt idx="2">
                  <c:v>140</c:v>
                </c:pt>
                <c:pt idx="3">
                  <c:v>135</c:v>
                </c:pt>
                <c:pt idx="4">
                  <c:v>130</c:v>
                </c:pt>
                <c:pt idx="5">
                  <c:v>125</c:v>
                </c:pt>
                <c:pt idx="6">
                  <c:v>120</c:v>
                </c:pt>
                <c:pt idx="7">
                  <c:v>115</c:v>
                </c:pt>
                <c:pt idx="8">
                  <c:v>110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90</c:v>
                </c:pt>
                <c:pt idx="13">
                  <c:v>85</c:v>
                </c:pt>
                <c:pt idx="14">
                  <c:v>80</c:v>
                </c:pt>
                <c:pt idx="15">
                  <c:v>75</c:v>
                </c:pt>
                <c:pt idx="16">
                  <c:v>70</c:v>
                </c:pt>
                <c:pt idx="17">
                  <c:v>65</c:v>
                </c:pt>
                <c:pt idx="18">
                  <c:v>60</c:v>
                </c:pt>
                <c:pt idx="19">
                  <c:v>55</c:v>
                </c:pt>
                <c:pt idx="20">
                  <c:v>50</c:v>
                </c:pt>
                <c:pt idx="21">
                  <c:v>45</c:v>
                </c:pt>
                <c:pt idx="22">
                  <c:v>40</c:v>
                </c:pt>
                <c:pt idx="23">
                  <c:v>35</c:v>
                </c:pt>
                <c:pt idx="24">
                  <c:v>30</c:v>
                </c:pt>
                <c:pt idx="25">
                  <c:v>25</c:v>
                </c:pt>
                <c:pt idx="26">
                  <c:v>20</c:v>
                </c:pt>
                <c:pt idx="27">
                  <c:v>15</c:v>
                </c:pt>
                <c:pt idx="28">
                  <c:v>10</c:v>
                </c:pt>
                <c:pt idx="29">
                  <c:v>5</c:v>
                </c:pt>
                <c:pt idx="30">
                  <c:v>0</c:v>
                </c:pt>
                <c:pt idx="31">
                  <c:v>-5</c:v>
                </c:pt>
                <c:pt idx="32">
                  <c:v>-10</c:v>
                </c:pt>
                <c:pt idx="33">
                  <c:v>-15</c:v>
                </c:pt>
                <c:pt idx="34">
                  <c:v>-20</c:v>
                </c:pt>
                <c:pt idx="35">
                  <c:v>-25</c:v>
                </c:pt>
                <c:pt idx="36">
                  <c:v>-30</c:v>
                </c:pt>
                <c:pt idx="37">
                  <c:v>-35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3B-408C-BDB3-76163C872514}"/>
            </c:ext>
          </c:extLst>
        </c:ser>
        <c:ser>
          <c:idx val="1"/>
          <c:order val="1"/>
          <c:tx>
            <c:v>Alt voltage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13036678564145351"/>
                  <c:y val="-0.26663232063380693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323-801-001-00 coolant temp'!$F$2:$F$40</c:f>
              <c:numCache>
                <c:formatCode>0.0000</c:formatCode>
                <c:ptCount val="39"/>
                <c:pt idx="0">
                  <c:v>2.4512882189701147E-2</c:v>
                </c:pt>
                <c:pt idx="1">
                  <c:v>2.7374386896846122E-2</c:v>
                </c:pt>
                <c:pt idx="2">
                  <c:v>3.0642314480853351E-2</c:v>
                </c:pt>
                <c:pt idx="3">
                  <c:v>3.4377316281012898E-2</c:v>
                </c:pt>
                <c:pt idx="4">
                  <c:v>3.8681578664372517E-2</c:v>
                </c:pt>
                <c:pt idx="5">
                  <c:v>4.3675657564081094E-2</c:v>
                </c:pt>
                <c:pt idx="6">
                  <c:v>4.9454200169507578E-2</c:v>
                </c:pt>
                <c:pt idx="7">
                  <c:v>5.604328219480615E-2</c:v>
                </c:pt>
                <c:pt idx="8">
                  <c:v>6.3633911887653868E-2</c:v>
                </c:pt>
                <c:pt idx="9">
                  <c:v>7.2593914282634994E-2</c:v>
                </c:pt>
                <c:pt idx="10">
                  <c:v>8.308375778727467E-2</c:v>
                </c:pt>
                <c:pt idx="11">
                  <c:v>9.5023483939253583E-2</c:v>
                </c:pt>
                <c:pt idx="12">
                  <c:v>0.10886549722671372</c:v>
                </c:pt>
                <c:pt idx="13">
                  <c:v>0.12566115288162449</c:v>
                </c:pt>
                <c:pt idx="14">
                  <c:v>0.14567766984956948</c:v>
                </c:pt>
                <c:pt idx="15">
                  <c:v>0.16862618136039464</c:v>
                </c:pt>
                <c:pt idx="16">
                  <c:v>0.19530464767533079</c:v>
                </c:pt>
                <c:pt idx="17">
                  <c:v>0.22490686755293812</c:v>
                </c:pt>
                <c:pt idx="18">
                  <c:v>0.25854151164026784</c:v>
                </c:pt>
                <c:pt idx="19">
                  <c:v>0.30225881945225169</c:v>
                </c:pt>
                <c:pt idx="20">
                  <c:v>0.35553765584128355</c:v>
                </c:pt>
                <c:pt idx="21">
                  <c:v>0.4134909057019337</c:v>
                </c:pt>
                <c:pt idx="22">
                  <c:v>0.4782858196816912</c:v>
                </c:pt>
                <c:pt idx="23">
                  <c:v>0.55114264111873235</c:v>
                </c:pt>
                <c:pt idx="24">
                  <c:v>0.63215738774371066</c:v>
                </c:pt>
                <c:pt idx="25">
                  <c:v>0.71971464569272869</c:v>
                </c:pt>
                <c:pt idx="26">
                  <c:v>0.8132554164274165</c:v>
                </c:pt>
                <c:pt idx="27">
                  <c:v>0.91156703510498227</c:v>
                </c:pt>
                <c:pt idx="28">
                  <c:v>1.0116007777057678</c:v>
                </c:pt>
                <c:pt idx="29">
                  <c:v>1.1090672878774304</c:v>
                </c:pt>
                <c:pt idx="30">
                  <c:v>1.2028002205197423</c:v>
                </c:pt>
                <c:pt idx="31">
                  <c:v>1.2911591200240391</c:v>
                </c:pt>
                <c:pt idx="32">
                  <c:v>1.3717465068572678</c:v>
                </c:pt>
                <c:pt idx="33">
                  <c:v>1.4419481205890583</c:v>
                </c:pt>
                <c:pt idx="34">
                  <c:v>1.5026273007262654</c:v>
                </c:pt>
                <c:pt idx="35">
                  <c:v>1.5535749538103312</c:v>
                </c:pt>
                <c:pt idx="36">
                  <c:v>1.5954853859701463</c:v>
                </c:pt>
                <c:pt idx="37">
                  <c:v>1.6288050241866534</c:v>
                </c:pt>
                <c:pt idx="38">
                  <c:v>1.6550937561436974</c:v>
                </c:pt>
              </c:numCache>
            </c:numRef>
          </c:xVal>
          <c:yVal>
            <c:numRef>
              <c:f>'VDO 323-801-001-00 coolant temp'!$G$2:$G$40</c:f>
              <c:numCache>
                <c:formatCode>0.0000</c:formatCode>
                <c:ptCount val="39"/>
                <c:pt idx="0">
                  <c:v>150</c:v>
                </c:pt>
                <c:pt idx="1">
                  <c:v>145</c:v>
                </c:pt>
                <c:pt idx="2">
                  <c:v>140</c:v>
                </c:pt>
                <c:pt idx="3">
                  <c:v>135</c:v>
                </c:pt>
                <c:pt idx="4">
                  <c:v>130</c:v>
                </c:pt>
                <c:pt idx="5">
                  <c:v>125</c:v>
                </c:pt>
                <c:pt idx="6">
                  <c:v>120</c:v>
                </c:pt>
                <c:pt idx="7">
                  <c:v>115</c:v>
                </c:pt>
                <c:pt idx="8">
                  <c:v>110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90</c:v>
                </c:pt>
                <c:pt idx="13">
                  <c:v>85</c:v>
                </c:pt>
                <c:pt idx="14">
                  <c:v>80</c:v>
                </c:pt>
                <c:pt idx="15">
                  <c:v>75</c:v>
                </c:pt>
                <c:pt idx="16">
                  <c:v>70</c:v>
                </c:pt>
                <c:pt idx="17">
                  <c:v>65</c:v>
                </c:pt>
                <c:pt idx="18">
                  <c:v>60</c:v>
                </c:pt>
                <c:pt idx="19">
                  <c:v>55</c:v>
                </c:pt>
                <c:pt idx="20">
                  <c:v>50</c:v>
                </c:pt>
                <c:pt idx="21">
                  <c:v>45</c:v>
                </c:pt>
                <c:pt idx="22">
                  <c:v>40</c:v>
                </c:pt>
                <c:pt idx="23">
                  <c:v>35</c:v>
                </c:pt>
                <c:pt idx="24">
                  <c:v>30</c:v>
                </c:pt>
                <c:pt idx="25">
                  <c:v>25</c:v>
                </c:pt>
                <c:pt idx="26">
                  <c:v>20</c:v>
                </c:pt>
                <c:pt idx="27">
                  <c:v>15</c:v>
                </c:pt>
                <c:pt idx="28">
                  <c:v>10</c:v>
                </c:pt>
                <c:pt idx="29">
                  <c:v>5</c:v>
                </c:pt>
                <c:pt idx="30">
                  <c:v>0</c:v>
                </c:pt>
                <c:pt idx="31">
                  <c:v>-5</c:v>
                </c:pt>
                <c:pt idx="32">
                  <c:v>-10</c:v>
                </c:pt>
                <c:pt idx="33">
                  <c:v>-15</c:v>
                </c:pt>
                <c:pt idx="34">
                  <c:v>-20</c:v>
                </c:pt>
                <c:pt idx="35">
                  <c:v>-25</c:v>
                </c:pt>
                <c:pt idx="36">
                  <c:v>-30</c:v>
                </c:pt>
                <c:pt idx="37">
                  <c:v>-35</c:v>
                </c:pt>
                <c:pt idx="38">
                  <c:v>-40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3B-408C-BDB3-76163C872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'Random oil sensor'!$G$1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4.7691864078829353E-2"/>
                  <c:y val="-0.37605400511636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oil sensor'!$D$2:$D$20</c:f>
              <c:numCache>
                <c:formatCode>0.0000</c:formatCode>
                <c:ptCount val="19"/>
                <c:pt idx="0">
                  <c:v>0</c:v>
                </c:pt>
                <c:pt idx="1">
                  <c:v>6.8076682642217126E-2</c:v>
                </c:pt>
                <c:pt idx="2">
                  <c:v>0.16824100640035308</c:v>
                </c:pt>
                <c:pt idx="3">
                  <c:v>0.25150115473441109</c:v>
                </c:pt>
                <c:pt idx="4">
                  <c:v>0.34286752240251878</c:v>
                </c:pt>
                <c:pt idx="5">
                  <c:v>0.4794871794871795</c:v>
                </c:pt>
                <c:pt idx="6">
                  <c:v>0.59508196721311479</c:v>
                </c:pt>
                <c:pt idx="7">
                  <c:v>0.72411101474414552</c:v>
                </c:pt>
                <c:pt idx="8">
                  <c:v>0.92143528674396746</c:v>
                </c:pt>
                <c:pt idx="9">
                  <c:v>1.0926421404682274</c:v>
                </c:pt>
                <c:pt idx="10">
                  <c:v>1.2885263535317317</c:v>
                </c:pt>
                <c:pt idx="11">
                  <c:v>1.5982943276477588</c:v>
                </c:pt>
                <c:pt idx="12">
                  <c:v>1.8775862068965516</c:v>
                </c:pt>
                <c:pt idx="13">
                  <c:v>2.2098631429919768</c:v>
                </c:pt>
                <c:pt idx="14">
                  <c:v>2.7651539708265802</c:v>
                </c:pt>
              </c:numCache>
            </c:numRef>
          </c:xVal>
          <c:yVal>
            <c:numRef>
              <c:f>'Random oil sensor'!$G$2:$G$20</c:f>
              <c:numCache>
                <c:formatCode>0.0000</c:formatCode>
                <c:ptCount val="19"/>
                <c:pt idx="0">
                  <c:v>200</c:v>
                </c:pt>
                <c:pt idx="1">
                  <c:v>174</c:v>
                </c:pt>
                <c:pt idx="2">
                  <c:v>135</c:v>
                </c:pt>
                <c:pt idx="3">
                  <c:v>113</c:v>
                </c:pt>
                <c:pt idx="4">
                  <c:v>98</c:v>
                </c:pt>
                <c:pt idx="5">
                  <c:v>87</c:v>
                </c:pt>
                <c:pt idx="6">
                  <c:v>76</c:v>
                </c:pt>
                <c:pt idx="7">
                  <c:v>67</c:v>
                </c:pt>
                <c:pt idx="8">
                  <c:v>59</c:v>
                </c:pt>
                <c:pt idx="9">
                  <c:v>51</c:v>
                </c:pt>
                <c:pt idx="10">
                  <c:v>43</c:v>
                </c:pt>
                <c:pt idx="11">
                  <c:v>34</c:v>
                </c:pt>
                <c:pt idx="12">
                  <c:v>25</c:v>
                </c:pt>
                <c:pt idx="13">
                  <c:v>13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84-41D0-A930-E3426F55DA8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16155004942814702"/>
                  <c:y val="-0.67617752582772717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oil sensor'!$F$2:$F$20</c:f>
              <c:numCache>
                <c:formatCode>0.0000</c:formatCode>
                <c:ptCount val="19"/>
                <c:pt idx="0">
                  <c:v>0</c:v>
                </c:pt>
                <c:pt idx="1">
                  <c:v>4.6502930938547321E-2</c:v>
                </c:pt>
                <c:pt idx="2">
                  <c:v>0.11385181463931243</c:v>
                </c:pt>
                <c:pt idx="3">
                  <c:v>0.1688848160157902</c:v>
                </c:pt>
                <c:pt idx="4">
                  <c:v>0.22830858097904969</c:v>
                </c:pt>
                <c:pt idx="5">
                  <c:v>0.31532958610117529</c:v>
                </c:pt>
                <c:pt idx="6">
                  <c:v>0.38729388942774007</c:v>
                </c:pt>
                <c:pt idx="7">
                  <c:v>0.46588038350327182</c:v>
                </c:pt>
                <c:pt idx="8">
                  <c:v>0.58264668263947683</c:v>
                </c:pt>
                <c:pt idx="9">
                  <c:v>0.68075393066868728</c:v>
                </c:pt>
                <c:pt idx="10">
                  <c:v>0.78952445625037437</c:v>
                </c:pt>
                <c:pt idx="11">
                  <c:v>0.9543786740164939</c:v>
                </c:pt>
                <c:pt idx="12">
                  <c:v>1.0959743824336687</c:v>
                </c:pt>
                <c:pt idx="13">
                  <c:v>1.2563647893851069</c:v>
                </c:pt>
                <c:pt idx="14">
                  <c:v>1.5065505338363969</c:v>
                </c:pt>
              </c:numCache>
            </c:numRef>
          </c:xVal>
          <c:yVal>
            <c:numRef>
              <c:f>'Random oil sensor'!$G$2:$G$20</c:f>
              <c:numCache>
                <c:formatCode>0.0000</c:formatCode>
                <c:ptCount val="19"/>
                <c:pt idx="0">
                  <c:v>200</c:v>
                </c:pt>
                <c:pt idx="1">
                  <c:v>174</c:v>
                </c:pt>
                <c:pt idx="2">
                  <c:v>135</c:v>
                </c:pt>
                <c:pt idx="3">
                  <c:v>113</c:v>
                </c:pt>
                <c:pt idx="4">
                  <c:v>98</c:v>
                </c:pt>
                <c:pt idx="5">
                  <c:v>87</c:v>
                </c:pt>
                <c:pt idx="6">
                  <c:v>76</c:v>
                </c:pt>
                <c:pt idx="7">
                  <c:v>67</c:v>
                </c:pt>
                <c:pt idx="8">
                  <c:v>59</c:v>
                </c:pt>
                <c:pt idx="9">
                  <c:v>51</c:v>
                </c:pt>
                <c:pt idx="10">
                  <c:v>43</c:v>
                </c:pt>
                <c:pt idx="11">
                  <c:v>34</c:v>
                </c:pt>
                <c:pt idx="12">
                  <c:v>25</c:v>
                </c:pt>
                <c:pt idx="13">
                  <c:v>13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84-41D0-A930-E3426F55D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'Bosch E36 coolant sensor'!$G$1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3.5234547115180995E-2"/>
                  <c:y val="-0.47986147066810153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E36 coolant sensor'!$D$2:$D$20</c:f>
              <c:numCache>
                <c:formatCode>0.0000</c:formatCode>
                <c:ptCount val="19"/>
                <c:pt idx="0">
                  <c:v>0.42896637264979065</c:v>
                </c:pt>
                <c:pt idx="1">
                  <c:v>0.85400993128799241</c:v>
                </c:pt>
                <c:pt idx="2">
                  <c:v>1.046229935219928</c:v>
                </c:pt>
                <c:pt idx="3">
                  <c:v>1.2712457035133005</c:v>
                </c:pt>
                <c:pt idx="4">
                  <c:v>1.5256842762152292</c:v>
                </c:pt>
                <c:pt idx="5">
                  <c:v>1.7992718805317056</c:v>
                </c:pt>
                <c:pt idx="6">
                  <c:v>2.0786969705186626</c:v>
                </c:pt>
                <c:pt idx="7">
                  <c:v>2.3457389879151007</c:v>
                </c:pt>
                <c:pt idx="8">
                  <c:v>2.7917459626497454</c:v>
                </c:pt>
                <c:pt idx="9">
                  <c:v>2.9535847426323474</c:v>
                </c:pt>
                <c:pt idx="10">
                  <c:v>3.0739251277912709</c:v>
                </c:pt>
                <c:pt idx="11">
                  <c:v>3.1573781258957561</c:v>
                </c:pt>
                <c:pt idx="12">
                  <c:v>3.214573891511705</c:v>
                </c:pt>
                <c:pt idx="13">
                  <c:v>3.2502859335714849</c:v>
                </c:pt>
                <c:pt idx="14">
                  <c:v>3.2717166179658337</c:v>
                </c:pt>
                <c:pt idx="15">
                  <c:v>3.2849060212042871</c:v>
                </c:pt>
              </c:numCache>
            </c:numRef>
          </c:xVal>
          <c:yVal>
            <c:numRef>
              <c:f>'Bosch E36 coolant sensor'!$G$2:$G$20</c:f>
              <c:numCache>
                <c:formatCode>0.0000</c:formatCode>
                <c:ptCount val="19"/>
                <c:pt idx="0">
                  <c:v>142.5</c:v>
                </c:pt>
                <c:pt idx="1">
                  <c:v>110.25</c:v>
                </c:pt>
                <c:pt idx="2">
                  <c:v>100.5</c:v>
                </c:pt>
                <c:pt idx="3">
                  <c:v>90.75</c:v>
                </c:pt>
                <c:pt idx="4">
                  <c:v>80.25</c:v>
                </c:pt>
                <c:pt idx="5">
                  <c:v>70.5</c:v>
                </c:pt>
                <c:pt idx="6">
                  <c:v>60.75</c:v>
                </c:pt>
                <c:pt idx="7">
                  <c:v>50.25</c:v>
                </c:pt>
                <c:pt idx="8">
                  <c:v>30</c:v>
                </c:pt>
                <c:pt idx="9">
                  <c:v>20.25</c:v>
                </c:pt>
                <c:pt idx="10">
                  <c:v>10.5</c:v>
                </c:pt>
                <c:pt idx="11">
                  <c:v>0</c:v>
                </c:pt>
                <c:pt idx="12">
                  <c:v>-9.75</c:v>
                </c:pt>
                <c:pt idx="13">
                  <c:v>-20.25</c:v>
                </c:pt>
                <c:pt idx="14">
                  <c:v>-30</c:v>
                </c:pt>
                <c:pt idx="15" formatCode="General">
                  <c:v>-39.75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46-4425-B7BF-912303B18D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21466134090070507"/>
                  <c:y val="-0.7375444059018985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E36 coolant sensor'!$F$2:$F$20</c:f>
              <c:numCache>
                <c:formatCode>0.0000</c:formatCode>
                <c:ptCount val="19"/>
                <c:pt idx="0">
                  <c:v>0.28340207439241838</c:v>
                </c:pt>
                <c:pt idx="1">
                  <c:v>0.54320191926197003</c:v>
                </c:pt>
                <c:pt idx="2">
                  <c:v>0.65444415388042598</c:v>
                </c:pt>
                <c:pt idx="3">
                  <c:v>0.78007371656273927</c:v>
                </c:pt>
                <c:pt idx="4">
                  <c:v>0.91649488702275506</c:v>
                </c:pt>
                <c:pt idx="5">
                  <c:v>1.0569161338085407</c:v>
                </c:pt>
                <c:pt idx="6">
                  <c:v>1.1940582198598417</c:v>
                </c:pt>
                <c:pt idx="7">
                  <c:v>1.3195730262490617</c:v>
                </c:pt>
                <c:pt idx="8">
                  <c:v>1.518009385853744</c:v>
                </c:pt>
                <c:pt idx="9">
                  <c:v>1.5867755033098563</c:v>
                </c:pt>
                <c:pt idx="10">
                  <c:v>1.6368504461180056</c:v>
                </c:pt>
                <c:pt idx="11">
                  <c:v>1.6710602407853596</c:v>
                </c:pt>
                <c:pt idx="12">
                  <c:v>1.6942670340428037</c:v>
                </c:pt>
                <c:pt idx="13">
                  <c:v>1.7086594724564494</c:v>
                </c:pt>
                <c:pt idx="14">
                  <c:v>1.7172606482972572</c:v>
                </c:pt>
                <c:pt idx="15">
                  <c:v>1.7225409603660631</c:v>
                </c:pt>
              </c:numCache>
            </c:numRef>
          </c:xVal>
          <c:yVal>
            <c:numRef>
              <c:f>'Bosch E36 coolant sensor'!$G$2:$G$20</c:f>
              <c:numCache>
                <c:formatCode>0.0000</c:formatCode>
                <c:ptCount val="19"/>
                <c:pt idx="0">
                  <c:v>142.5</c:v>
                </c:pt>
                <c:pt idx="1">
                  <c:v>110.25</c:v>
                </c:pt>
                <c:pt idx="2">
                  <c:v>100.5</c:v>
                </c:pt>
                <c:pt idx="3">
                  <c:v>90.75</c:v>
                </c:pt>
                <c:pt idx="4">
                  <c:v>80.25</c:v>
                </c:pt>
                <c:pt idx="5">
                  <c:v>70.5</c:v>
                </c:pt>
                <c:pt idx="6">
                  <c:v>60.75</c:v>
                </c:pt>
                <c:pt idx="7">
                  <c:v>50.25</c:v>
                </c:pt>
                <c:pt idx="8">
                  <c:v>30</c:v>
                </c:pt>
                <c:pt idx="9">
                  <c:v>20.25</c:v>
                </c:pt>
                <c:pt idx="10">
                  <c:v>10.5</c:v>
                </c:pt>
                <c:pt idx="11">
                  <c:v>0</c:v>
                </c:pt>
                <c:pt idx="12">
                  <c:v>-9.75</c:v>
                </c:pt>
                <c:pt idx="13">
                  <c:v>-20.25</c:v>
                </c:pt>
                <c:pt idx="14">
                  <c:v>-30</c:v>
                </c:pt>
                <c:pt idx="15" formatCode="General">
                  <c:v>-39.75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46-4425-B7BF-912303B18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'VDO 360-081-029-001K pressure'!$G$1</c:f>
              <c:strCache>
                <c:ptCount val="1"/>
                <c:pt idx="0">
                  <c:v>Pressure (Bar)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36353874409432813"/>
                  <c:y val="4.713518893226832E-2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360-081-029-001K pressure'!$D$2:$D$27</c:f>
              <c:numCache>
                <c:formatCode>0.0000</c:formatCode>
                <c:ptCount val="26"/>
                <c:pt idx="0">
                  <c:v>3.4768188330655182E-2</c:v>
                </c:pt>
                <c:pt idx="1">
                  <c:v>5.8114913847119962E-2</c:v>
                </c:pt>
                <c:pt idx="2">
                  <c:v>8.1037660173810228E-2</c:v>
                </c:pt>
                <c:pt idx="3">
                  <c:v>0.10354732012274438</c:v>
                </c:pt>
                <c:pt idx="4">
                  <c:v>0.12565441308220077</c:v>
                </c:pt>
                <c:pt idx="5">
                  <c:v>0.14736910085438207</c:v>
                </c:pt>
                <c:pt idx="6">
                  <c:v>0.16870120269353336</c:v>
                </c:pt>
                <c:pt idx="7">
                  <c:v>0.18966020959120816</c:v>
                </c:pt>
                <c:pt idx="8">
                  <c:v>0.21025529785228814</c:v>
                </c:pt>
                <c:pt idx="9">
                  <c:v>0.23049534200249755</c:v>
                </c:pt>
                <c:pt idx="10">
                  <c:v>0.25038892706550159</c:v>
                </c:pt>
                <c:pt idx="11">
                  <c:v>0.26994436024521756</c:v>
                </c:pt>
                <c:pt idx="12">
                  <c:v>0.28916968204668381</c:v>
                </c:pt>
                <c:pt idx="13">
                  <c:v>0.30807267686671391</c:v>
                </c:pt>
                <c:pt idx="14">
                  <c:v>0.32666088308359181</c:v>
                </c:pt>
                <c:pt idx="15">
                  <c:v>0.34494160267323537</c:v>
                </c:pt>
                <c:pt idx="16">
                  <c:v>0.36292191037755056</c:v>
                </c:pt>
                <c:pt idx="17">
                  <c:v>0.38060866244911695</c:v>
                </c:pt>
                <c:pt idx="18">
                  <c:v>0.39800850499486562</c:v>
                </c:pt>
                <c:pt idx="19">
                  <c:v>0.41512788194003886</c:v>
                </c:pt>
                <c:pt idx="20">
                  <c:v>0.43197304263243852</c:v>
                </c:pt>
                <c:pt idx="21">
                  <c:v>0.44855004910577012</c:v>
                </c:pt>
                <c:pt idx="22">
                  <c:v>0.46486478301978196</c:v>
                </c:pt>
                <c:pt idx="23">
                  <c:v>0.48092295229384907</c:v>
                </c:pt>
                <c:pt idx="24">
                  <c:v>0.49673009744968083</c:v>
                </c:pt>
                <c:pt idx="25">
                  <c:v>0.51229159767792332</c:v>
                </c:pt>
              </c:numCache>
            </c:numRef>
          </c:xVal>
          <c:yVal>
            <c:numRef>
              <c:f>'VDO 360-081-029-001K pressure'!$G$2:$G$27</c:f>
              <c:numCache>
                <c:formatCode>0.0000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E0-4586-AF09-AA0F096AA57E}"/>
            </c:ext>
          </c:extLst>
        </c:ser>
        <c:ser>
          <c:idx val="1"/>
          <c:order val="1"/>
          <c:tx>
            <c:v>Alt voltage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2.5138040861150245E-2"/>
                  <c:y val="0.5578564543269866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360-081-029-001K pressure'!$F$2:$F$27</c:f>
              <c:numCache>
                <c:formatCode>0.0000</c:formatCode>
                <c:ptCount val="26"/>
                <c:pt idx="0">
                  <c:v>0.18434298150362502</c:v>
                </c:pt>
                <c:pt idx="1">
                  <c:v>0.29343916050489754</c:v>
                </c:pt>
                <c:pt idx="2">
                  <c:v>0.39088633772254977</c:v>
                </c:pt>
                <c:pt idx="3">
                  <c:v>0.47845366591027161</c:v>
                </c:pt>
                <c:pt idx="4">
                  <c:v>0.55756929959999479</c:v>
                </c:pt>
                <c:pt idx="5">
                  <c:v>0.6293987758766838</c:v>
                </c:pt>
                <c:pt idx="6">
                  <c:v>0.69490272572459988</c:v>
                </c:pt>
                <c:pt idx="7">
                  <c:v>0.75488000730277716</c:v>
                </c:pt>
                <c:pt idx="8">
                  <c:v>0.81000038379599237</c:v>
                </c:pt>
                <c:pt idx="9">
                  <c:v>0.86082958779805296</c:v>
                </c:pt>
                <c:pt idx="10">
                  <c:v>0.90784876433800465</c:v>
                </c:pt>
                <c:pt idx="11">
                  <c:v>0.95146971041290074</c:v>
                </c:pt>
                <c:pt idx="12">
                  <c:v>0.99204693439143343</c:v>
                </c:pt>
                <c:pt idx="13">
                  <c:v>1.0298872834870005</c:v>
                </c:pt>
                <c:pt idx="14">
                  <c:v>1.0652576928623771</c:v>
                </c:pt>
                <c:pt idx="15">
                  <c:v>1.0983914704596673</c:v>
                </c:pt>
                <c:pt idx="16">
                  <c:v>1.129493430504775</c:v>
                </c:pt>
                <c:pt idx="17">
                  <c:v>1.1587441144609572</c:v>
                </c:pt>
                <c:pt idx="18">
                  <c:v>1.1863032832405502</c:v>
                </c:pt>
                <c:pt idx="19">
                  <c:v>1.2123128233549263</c:v>
                </c:pt>
                <c:pt idx="20">
                  <c:v>1.2368991786253869</c:v>
                </c:pt>
                <c:pt idx="21">
                  <c:v>1.2601753954242314</c:v>
                </c:pt>
                <c:pt idx="22">
                  <c:v>1.2822428512550998</c:v>
                </c:pt>
                <c:pt idx="23">
                  <c:v>1.3031927224329918</c:v>
                </c:pt>
                <c:pt idx="24">
                  <c:v>1.3231072356782678</c:v>
                </c:pt>
                <c:pt idx="25">
                  <c:v>1.3420607398523074</c:v>
                </c:pt>
              </c:numCache>
            </c:numRef>
          </c:xVal>
          <c:yVal>
            <c:numRef>
              <c:f>'VDO 360-081-029-001K pressure'!$G$2:$G$27</c:f>
              <c:numCache>
                <c:formatCode>0.0000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E0-4586-AF09-AA0F096AA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'27 NPT 3-160 pressure'!$G$1</c:f>
              <c:strCache>
                <c:ptCount val="1"/>
                <c:pt idx="0">
                  <c:v>Pressure (Bar)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36353874409432813"/>
                  <c:y val="4.713518893226832E-2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'27 NPT 3-160 pressure'!$D$2:$D$27</c:f>
              <c:numCache>
                <c:formatCode>0.0000</c:formatCode>
                <c:ptCount val="26"/>
                <c:pt idx="0">
                  <c:v>3.2673267326732675E-2</c:v>
                </c:pt>
                <c:pt idx="1">
                  <c:v>5.1968503937007873E-2</c:v>
                </c:pt>
                <c:pt idx="2">
                  <c:v>7.1037181996086093E-2</c:v>
                </c:pt>
                <c:pt idx="3">
                  <c:v>8.9883268482490258E-2</c:v>
                </c:pt>
                <c:pt idx="4">
                  <c:v>0.10851063829787233</c:v>
                </c:pt>
                <c:pt idx="5">
                  <c:v>0.12692307692307692</c:v>
                </c:pt>
                <c:pt idx="6">
                  <c:v>0.14512428298279156</c:v>
                </c:pt>
                <c:pt idx="7">
                  <c:v>0.16311787072243344</c:v>
                </c:pt>
                <c:pt idx="8">
                  <c:v>0.18090737240075613</c:v>
                </c:pt>
                <c:pt idx="9">
                  <c:v>0.19849624060150375</c:v>
                </c:pt>
                <c:pt idx="10">
                  <c:v>0.21588785046728973</c:v>
                </c:pt>
                <c:pt idx="11">
                  <c:v>0.23308550185873605</c:v>
                </c:pt>
                <c:pt idx="12">
                  <c:v>0.25009242144177446</c:v>
                </c:pt>
                <c:pt idx="13">
                  <c:v>0.26691176470588235</c:v>
                </c:pt>
                <c:pt idx="14">
                  <c:v>0.28354661791590491</c:v>
                </c:pt>
                <c:pt idx="15">
                  <c:v>0.3</c:v>
                </c:pt>
                <c:pt idx="16">
                  <c:v>0.31627486437613017</c:v>
                </c:pt>
                <c:pt idx="17">
                  <c:v>0.33237410071942441</c:v>
                </c:pt>
                <c:pt idx="18">
                  <c:v>0.34830053667262967</c:v>
                </c:pt>
                <c:pt idx="19">
                  <c:v>0.36405693950177936</c:v>
                </c:pt>
                <c:pt idx="20">
                  <c:v>0.37964601769911505</c:v>
                </c:pt>
                <c:pt idx="21">
                  <c:v>0.39507042253521124</c:v>
                </c:pt>
                <c:pt idx="22">
                  <c:v>0.41033274956217158</c:v>
                </c:pt>
                <c:pt idx="23">
                  <c:v>0.42543554006968637</c:v>
                </c:pt>
                <c:pt idx="24">
                  <c:v>0.44038128249566721</c:v>
                </c:pt>
                <c:pt idx="25">
                  <c:v>0.45517241379310347</c:v>
                </c:pt>
              </c:numCache>
            </c:numRef>
          </c:xVal>
          <c:yVal>
            <c:numRef>
              <c:f>'27 NPT 3-160 pressure'!$G$2:$G$27</c:f>
              <c:numCache>
                <c:formatCode>0.0000</c:formatCode>
                <c:ptCount val="26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4</c:v>
                </c:pt>
                <c:pt idx="11">
                  <c:v>4.4000000000000004</c:v>
                </c:pt>
                <c:pt idx="12">
                  <c:v>4.8</c:v>
                </c:pt>
                <c:pt idx="13">
                  <c:v>5.2</c:v>
                </c:pt>
                <c:pt idx="14">
                  <c:v>5.6</c:v>
                </c:pt>
                <c:pt idx="15">
                  <c:v>6</c:v>
                </c:pt>
                <c:pt idx="16">
                  <c:v>6.4</c:v>
                </c:pt>
                <c:pt idx="17">
                  <c:v>6.8</c:v>
                </c:pt>
                <c:pt idx="18">
                  <c:v>7.2</c:v>
                </c:pt>
                <c:pt idx="19">
                  <c:v>7.6</c:v>
                </c:pt>
                <c:pt idx="20">
                  <c:v>8</c:v>
                </c:pt>
                <c:pt idx="21">
                  <c:v>8.4</c:v>
                </c:pt>
                <c:pt idx="22">
                  <c:v>8.8000000000000007</c:v>
                </c:pt>
                <c:pt idx="23">
                  <c:v>9.1999999999999993</c:v>
                </c:pt>
                <c:pt idx="24">
                  <c:v>9.6</c:v>
                </c:pt>
                <c:pt idx="25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B4-4E72-AB41-13E3EB1CE811}"/>
            </c:ext>
          </c:extLst>
        </c:ser>
        <c:ser>
          <c:idx val="1"/>
          <c:order val="1"/>
          <c:tx>
            <c:v>Alt voltage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2.5138040861150245E-2"/>
                  <c:y val="0.5578564543269866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'27 NPT 3-160 pressure'!$F$2:$F$27</c:f>
              <c:numCache>
                <c:formatCode>0.0000</c:formatCode>
                <c:ptCount val="26"/>
                <c:pt idx="0">
                  <c:v>0.17401725790987535</c:v>
                </c:pt>
                <c:pt idx="1">
                  <c:v>0.26573938506588574</c:v>
                </c:pt>
                <c:pt idx="2">
                  <c:v>0.34946612987922276</c:v>
                </c:pt>
                <c:pt idx="3">
                  <c:v>0.42619926199261998</c:v>
                </c:pt>
                <c:pt idx="4">
                  <c:v>0.49677990661729182</c:v>
                </c:pt>
                <c:pt idx="5">
                  <c:v>0.56191950464396279</c:v>
                </c:pt>
                <c:pt idx="6">
                  <c:v>0.62222387837233561</c:v>
                </c:pt>
                <c:pt idx="7">
                  <c:v>0.67821212992239144</c:v>
                </c:pt>
                <c:pt idx="8">
                  <c:v>0.73033162203413327</c:v>
                </c:pt>
                <c:pt idx="9">
                  <c:v>0.77896995708154493</c:v>
                </c:pt>
                <c:pt idx="10">
                  <c:v>0.82446463335496423</c:v>
                </c:pt>
                <c:pt idx="11">
                  <c:v>0.86711088760372135</c:v>
                </c:pt>
                <c:pt idx="12">
                  <c:v>0.90716810922833102</c:v>
                </c:pt>
                <c:pt idx="13">
                  <c:v>0.94486512068149553</c:v>
                </c:pt>
                <c:pt idx="14">
                  <c:v>0.98040455120101144</c:v>
                </c:pt>
                <c:pt idx="15">
                  <c:v>1.0139664804469275</c:v>
                </c:pt>
                <c:pt idx="16">
                  <c:v>1.0457114903793889</c:v>
                </c:pt>
                <c:pt idx="17">
                  <c:v>1.075783234546994</c:v>
                </c:pt>
                <c:pt idx="18">
                  <c:v>1.1043106115293388</c:v>
                </c:pt>
                <c:pt idx="19">
                  <c:v>1.1314096119042831</c:v>
                </c:pt>
                <c:pt idx="20">
                  <c:v>1.1571848945561549</c:v>
                </c:pt>
                <c:pt idx="21">
                  <c:v>1.1817311374952124</c:v>
                </c:pt>
                <c:pt idx="22">
                  <c:v>1.2051341999438885</c:v>
                </c:pt>
                <c:pt idx="23">
                  <c:v>1.2274721257539756</c:v>
                </c:pt>
                <c:pt idx="24">
                  <c:v>1.248816012867483</c:v>
                </c:pt>
                <c:pt idx="25">
                  <c:v>1.2692307692307692</c:v>
                </c:pt>
              </c:numCache>
            </c:numRef>
          </c:xVal>
          <c:yVal>
            <c:numRef>
              <c:f>'27 NPT 3-160 pressure'!$G$2:$G$27</c:f>
              <c:numCache>
                <c:formatCode>0.0000</c:formatCode>
                <c:ptCount val="26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4</c:v>
                </c:pt>
                <c:pt idx="11">
                  <c:v>4.4000000000000004</c:v>
                </c:pt>
                <c:pt idx="12">
                  <c:v>4.8</c:v>
                </c:pt>
                <c:pt idx="13">
                  <c:v>5.2</c:v>
                </c:pt>
                <c:pt idx="14">
                  <c:v>5.6</c:v>
                </c:pt>
                <c:pt idx="15">
                  <c:v>6</c:v>
                </c:pt>
                <c:pt idx="16">
                  <c:v>6.4</c:v>
                </c:pt>
                <c:pt idx="17">
                  <c:v>6.8</c:v>
                </c:pt>
                <c:pt idx="18">
                  <c:v>7.2</c:v>
                </c:pt>
                <c:pt idx="19">
                  <c:v>7.6</c:v>
                </c:pt>
                <c:pt idx="20">
                  <c:v>8</c:v>
                </c:pt>
                <c:pt idx="21">
                  <c:v>8.4</c:v>
                </c:pt>
                <c:pt idx="22">
                  <c:v>8.8000000000000007</c:v>
                </c:pt>
                <c:pt idx="23">
                  <c:v>9.1999999999999993</c:v>
                </c:pt>
                <c:pt idx="24">
                  <c:v>9.6</c:v>
                </c:pt>
                <c:pt idx="25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B4-4E72-AB41-13E3EB1CE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 sensor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'Beta (osculati)'!$A$7:$A$71</c:f>
              <c:numCache>
                <c:formatCode>0.00</c:formatCode>
                <c:ptCount val="65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</c:numCache>
            </c:numRef>
          </c:xVal>
          <c:yVal>
            <c:numRef>
              <c:f>'Beta (osculati)'!$B$7:$B$71</c:f>
              <c:numCache>
                <c:formatCode>0.00</c:formatCode>
                <c:ptCount val="65"/>
                <c:pt idx="0">
                  <c:v>162.70570122617875</c:v>
                </c:pt>
                <c:pt idx="1">
                  <c:v>130.94661336106805</c:v>
                </c:pt>
                <c:pt idx="2">
                  <c:v>114.17146120914816</c:v>
                </c:pt>
                <c:pt idx="3">
                  <c:v>102.91601436410565</c:v>
                </c:pt>
                <c:pt idx="4">
                  <c:v>94.493723678017204</c:v>
                </c:pt>
                <c:pt idx="5">
                  <c:v>87.77967224545398</c:v>
                </c:pt>
                <c:pt idx="6">
                  <c:v>82.200422673284493</c:v>
                </c:pt>
                <c:pt idx="7">
                  <c:v>77.425728358465676</c:v>
                </c:pt>
                <c:pt idx="8">
                  <c:v>73.248759010494325</c:v>
                </c:pt>
                <c:pt idx="9">
                  <c:v>69.531763738385052</c:v>
                </c:pt>
                <c:pt idx="10">
                  <c:v>66.178569432784514</c:v>
                </c:pt>
                <c:pt idx="11">
                  <c:v>63.119472728013761</c:v>
                </c:pt>
                <c:pt idx="12">
                  <c:v>60.302392856418692</c:v>
                </c:pt>
                <c:pt idx="13">
                  <c:v>57.687417972539663</c:v>
                </c:pt>
                <c:pt idx="14">
                  <c:v>55.243298385908872</c:v>
                </c:pt>
                <c:pt idx="15">
                  <c:v>52.945110491530329</c:v>
                </c:pt>
                <c:pt idx="16">
                  <c:v>50.772653009122678</c:v>
                </c:pt>
                <c:pt idx="17">
                  <c:v>48.709316998419069</c:v>
                </c:pt>
                <c:pt idx="18">
                  <c:v>46.741271433122506</c:v>
                </c:pt>
                <c:pt idx="19">
                  <c:v>44.856864348117483</c:v>
                </c:pt>
                <c:pt idx="20">
                  <c:v>43.046174571623965</c:v>
                </c:pt>
                <c:pt idx="21">
                  <c:v>41.300670737318001</c:v>
                </c:pt>
                <c:pt idx="22">
                  <c:v>39.612948072577126</c:v>
                </c:pt>
                <c:pt idx="23">
                  <c:v>37.976522456330883</c:v>
                </c:pt>
                <c:pt idx="24">
                  <c:v>36.385667232743458</c:v>
                </c:pt>
                <c:pt idx="25">
                  <c:v>34.835282336065518</c:v>
                </c:pt>
                <c:pt idx="26">
                  <c:v>33.320788093115539</c:v>
                </c:pt>
                <c:pt idx="27">
                  <c:v>31.838038042164669</c:v>
                </c:pt>
                <c:pt idx="28">
                  <c:v>30.383246509841058</c:v>
                </c:pt>
                <c:pt idx="29">
                  <c:v>28.952927697270297</c:v>
                </c:pt>
                <c:pt idx="30">
                  <c:v>27.543843760225059</c:v>
                </c:pt>
                <c:pt idx="31">
                  <c:v>26.152959904599129</c:v>
                </c:pt>
                <c:pt idx="32">
                  <c:v>24.777404911952431</c:v>
                </c:pt>
                <c:pt idx="33">
                  <c:v>23.414435797205442</c:v>
                </c:pt>
                <c:pt idx="34">
                  <c:v>22.061405507256666</c:v>
                </c:pt>
                <c:pt idx="35">
                  <c:v>20.715732712617523</c:v>
                </c:pt>
                <c:pt idx="36">
                  <c:v>19.374872835437941</c:v>
                </c:pt>
                <c:pt idx="37">
                  <c:v>18.036289503204216</c:v>
                </c:pt>
                <c:pt idx="38">
                  <c:v>16.69742562074714</c:v>
                </c:pt>
                <c:pt idx="39">
                  <c:v>15.355673213185241</c:v>
                </c:pt>
                <c:pt idx="40">
                  <c:v>14.008341104398937</c:v>
                </c:pt>
                <c:pt idx="41">
                  <c:v>12.652619350391774</c:v>
                </c:pt>
                <c:pt idx="42">
                  <c:v>11.285539129341487</c:v>
                </c:pt>
                <c:pt idx="43">
                  <c:v>9.9039264769240276</c:v>
                </c:pt>
                <c:pt idx="44">
                  <c:v>8.5043478113066726</c:v>
                </c:pt>
                <c:pt idx="45">
                  <c:v>7.0830445637105299</c:v>
                </c:pt>
                <c:pt idx="46">
                  <c:v>5.6358533365022367</c:v>
                </c:pt>
                <c:pt idx="47">
                  <c:v>4.1581067262493434</c:v>
                </c:pt>
                <c:pt idx="48">
                  <c:v>2.6445080777326098</c:v>
                </c:pt>
                <c:pt idx="49">
                  <c:v>1.088970662157692</c:v>
                </c:pt>
                <c:pt idx="50">
                  <c:v>-0.51559241654928201</c:v>
                </c:pt>
                <c:pt idx="51">
                  <c:v>-2.1775477564728476</c:v>
                </c:pt>
                <c:pt idx="52">
                  <c:v>-3.9069210617709587</c:v>
                </c:pt>
                <c:pt idx="53">
                  <c:v>-5.7159235818964476</c:v>
                </c:pt>
                <c:pt idx="54">
                  <c:v>-7.6197009771478861</c:v>
                </c:pt>
                <c:pt idx="55">
                  <c:v>-9.6374294493601838</c:v>
                </c:pt>
                <c:pt idx="56">
                  <c:v>-11.793974535950554</c:v>
                </c:pt>
                <c:pt idx="57">
                  <c:v>-14.122502737830132</c:v>
                </c:pt>
                <c:pt idx="58">
                  <c:v>-16.668795322814162</c:v>
                </c:pt>
                <c:pt idx="59">
                  <c:v>-19.498810814754705</c:v>
                </c:pt>
                <c:pt idx="60">
                  <c:v>-22.712991819120049</c:v>
                </c:pt>
                <c:pt idx="61">
                  <c:v>-26.476219372872094</c:v>
                </c:pt>
                <c:pt idx="62">
                  <c:v>-31.090168576091429</c:v>
                </c:pt>
                <c:pt idx="63">
                  <c:v>-37.211298628077486</c:v>
                </c:pt>
                <c:pt idx="64">
                  <c:v>-46.839474542638158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C-4FEA-9BBC-6A6FE44F7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10944"/>
        <c:axId val="141811904"/>
      </c:scatterChart>
      <c:valAx>
        <c:axId val="14181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11904"/>
        <c:crosses val="autoZero"/>
        <c:crossBetween val="midCat"/>
      </c:valAx>
      <c:valAx>
        <c:axId val="1418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1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'Bosch E36 coolant sensor (2)'!$G$1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3.5234547115180995E-2"/>
                  <c:y val="-0.4798614706681015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</a:t>
                    </a:r>
                    <a:r>
                      <a:rPr lang="en-US" sz="900" b="0" i="0" u="none" strike="noStrike" baseline="0">
                        <a:effectLst/>
                      </a:rPr>
                      <a:t>= -8.9368x</a:t>
                    </a:r>
                    <a:r>
                      <a:rPr lang="en-US" sz="900" b="0" i="0" u="none" strike="noStrike" baseline="30000">
                        <a:effectLst/>
                      </a:rPr>
                      <a:t>3</a:t>
                    </a:r>
                    <a:r>
                      <a:rPr lang="en-US" sz="900" b="0" i="0" u="none" strike="noStrike" baseline="0">
                        <a:effectLst/>
                      </a:rPr>
                      <a:t> + 51.392x</a:t>
                    </a:r>
                    <a:r>
                      <a:rPr lang="en-US" sz="900" b="0" i="0" u="none" strike="noStrike" baseline="30000">
                        <a:effectLst/>
                      </a:rPr>
                      <a:t>2</a:t>
                    </a:r>
                    <a:r>
                      <a:rPr lang="en-US" sz="900" b="0" i="0" u="none" strike="noStrike" baseline="0">
                        <a:effectLst/>
                      </a:rPr>
                      <a:t> - 143.25x + 235.45</a:t>
                    </a:r>
                    <a:br>
                      <a:rPr lang="en-US" baseline="0"/>
                    </a:br>
                    <a:r>
                      <a:rPr lang="en-US" baseline="0"/>
                      <a:t>R² = 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E36 coolant sensor (2)'!$D$2:$D$12</c:f>
              <c:numCache>
                <c:formatCode>0.0000</c:formatCode>
                <c:ptCount val="11"/>
                <c:pt idx="0">
                  <c:v>2.8478832716810518</c:v>
                </c:pt>
                <c:pt idx="1">
                  <c:v>2.6792325056433408</c:v>
                </c:pt>
                <c:pt idx="2">
                  <c:v>2.4791044776119402</c:v>
                </c:pt>
                <c:pt idx="3">
                  <c:v>2.2550348321722606</c:v>
                </c:pt>
                <c:pt idx="4">
                  <c:v>2.0154534838458544</c:v>
                </c:pt>
                <c:pt idx="5">
                  <c:v>1.7722222222222221</c:v>
                </c:pt>
                <c:pt idx="6">
                  <c:v>1.5352941176470589</c:v>
                </c:pt>
                <c:pt idx="7">
                  <c:v>1.3180180180180181</c:v>
                </c:pt>
                <c:pt idx="8">
                  <c:v>1.1217821782178219</c:v>
                </c:pt>
                <c:pt idx="9">
                  <c:v>0.95124555160142343</c:v>
                </c:pt>
                <c:pt idx="10">
                  <c:v>0.80566893424036268</c:v>
                </c:pt>
              </c:numCache>
            </c:numRef>
          </c:xVal>
          <c:yVal>
            <c:numRef>
              <c:f>'Bosch E36 coolant sensor (2)'!$G$2:$G$12</c:f>
              <c:numCache>
                <c:formatCode>0.0000</c:formatCode>
                <c:ptCount val="11"/>
                <c:pt idx="0">
                  <c:v>37.777777777777779</c:v>
                </c:pt>
                <c:pt idx="1">
                  <c:v>48.888888888888886</c:v>
                </c:pt>
                <c:pt idx="2">
                  <c:v>60</c:v>
                </c:pt>
                <c:pt idx="3">
                  <c:v>71.111111111111114</c:v>
                </c:pt>
                <c:pt idx="4">
                  <c:v>82.222222222222229</c:v>
                </c:pt>
                <c:pt idx="5">
                  <c:v>93.333333333333329</c:v>
                </c:pt>
                <c:pt idx="6">
                  <c:v>104.44444444444444</c:v>
                </c:pt>
                <c:pt idx="7">
                  <c:v>115.55555555555556</c:v>
                </c:pt>
                <c:pt idx="8">
                  <c:v>126.66666666666667</c:v>
                </c:pt>
                <c:pt idx="9">
                  <c:v>137.77777777777777</c:v>
                </c:pt>
                <c:pt idx="10">
                  <c:v>148.88888888888889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96-4861-B2AE-7353CC3ADF5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21466134090070507"/>
                  <c:y val="-0.7375444059018985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E36 coolant sensor (2)'!$F$2:$F$12</c:f>
              <c:numCache>
                <c:formatCode>0.0000</c:formatCode>
                <c:ptCount val="11"/>
                <c:pt idx="0">
                  <c:v>1.5420504589321482</c:v>
                </c:pt>
                <c:pt idx="1">
                  <c:v>1.4692111482051089</c:v>
                </c:pt>
                <c:pt idx="2">
                  <c:v>1.3803324099722991</c:v>
                </c:pt>
                <c:pt idx="3">
                  <c:v>1.2775269904432627</c:v>
                </c:pt>
                <c:pt idx="4">
                  <c:v>1.1635518600992869</c:v>
                </c:pt>
                <c:pt idx="5">
                  <c:v>1.0433102081268582</c:v>
                </c:pt>
                <c:pt idx="6">
                  <c:v>0.92153487014881807</c:v>
                </c:pt>
                <c:pt idx="7">
                  <c:v>0.80558985483063561</c:v>
                </c:pt>
                <c:pt idx="8">
                  <c:v>0.69716576542979669</c:v>
                </c:pt>
                <c:pt idx="9">
                  <c:v>0.5999387880024486</c:v>
                </c:pt>
                <c:pt idx="10">
                  <c:v>0.51463371812316205</c:v>
                </c:pt>
              </c:numCache>
            </c:numRef>
          </c:xVal>
          <c:yVal>
            <c:numRef>
              <c:f>'Bosch E36 coolant sensor (2)'!$G$2:$G$12</c:f>
              <c:numCache>
                <c:formatCode>0.0000</c:formatCode>
                <c:ptCount val="11"/>
                <c:pt idx="0">
                  <c:v>37.777777777777779</c:v>
                </c:pt>
                <c:pt idx="1">
                  <c:v>48.888888888888886</c:v>
                </c:pt>
                <c:pt idx="2">
                  <c:v>60</c:v>
                </c:pt>
                <c:pt idx="3">
                  <c:v>71.111111111111114</c:v>
                </c:pt>
                <c:pt idx="4">
                  <c:v>82.222222222222229</c:v>
                </c:pt>
                <c:pt idx="5">
                  <c:v>93.333333333333329</c:v>
                </c:pt>
                <c:pt idx="6">
                  <c:v>104.44444444444444</c:v>
                </c:pt>
                <c:pt idx="7">
                  <c:v>115.55555555555556</c:v>
                </c:pt>
                <c:pt idx="8">
                  <c:v>126.66666666666667</c:v>
                </c:pt>
                <c:pt idx="9">
                  <c:v>137.77777777777777</c:v>
                </c:pt>
                <c:pt idx="10">
                  <c:v>148.88888888888889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96-4861-B2AE-7353CC3A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'VDO S50 12611404699 801 37 2'!$G$1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3.5234547115180995E-2"/>
                  <c:y val="-0.4798614706681015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</a:t>
                    </a:r>
                    <a:r>
                      <a:rPr lang="en-US" sz="900" b="0" i="0" u="none" strike="noStrike" baseline="0">
                        <a:effectLst/>
                      </a:rPr>
                      <a:t>= -8.9368x</a:t>
                    </a:r>
                    <a:r>
                      <a:rPr lang="en-US" sz="900" b="0" i="0" u="none" strike="noStrike" baseline="30000">
                        <a:effectLst/>
                      </a:rPr>
                      <a:t>3</a:t>
                    </a:r>
                    <a:r>
                      <a:rPr lang="en-US" sz="900" b="0" i="0" u="none" strike="noStrike" baseline="0">
                        <a:effectLst/>
                      </a:rPr>
                      <a:t> + 51.392x</a:t>
                    </a:r>
                    <a:r>
                      <a:rPr lang="en-US" sz="900" b="0" i="0" u="none" strike="noStrike" baseline="30000">
                        <a:effectLst/>
                      </a:rPr>
                      <a:t>2</a:t>
                    </a:r>
                    <a:r>
                      <a:rPr lang="en-US" sz="900" b="0" i="0" u="none" strike="noStrike" baseline="0">
                        <a:effectLst/>
                      </a:rPr>
                      <a:t> - 143.25x + 235.45</a:t>
                    </a:r>
                    <a:br>
                      <a:rPr lang="en-US" baseline="0"/>
                    </a:br>
                    <a:r>
                      <a:rPr lang="en-US" baseline="0"/>
                      <a:t>R² = 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S50 12611404699 801 37 2'!$D$2:$D$12</c:f>
              <c:numCache>
                <c:formatCode>0.0000</c:formatCode>
                <c:ptCount val="11"/>
                <c:pt idx="0">
                  <c:v>0.80529180526156641</c:v>
                </c:pt>
                <c:pt idx="1">
                  <c:v>0.46738197424892702</c:v>
                </c:pt>
                <c:pt idx="2">
                  <c:v>0.38737864077669903</c:v>
                </c:pt>
                <c:pt idx="3">
                  <c:v>0.33370786516853934</c:v>
                </c:pt>
                <c:pt idx="4">
                  <c:v>0.25290858725761772</c:v>
                </c:pt>
                <c:pt idx="5">
                  <c:v>0.19324044436076065</c:v>
                </c:pt>
                <c:pt idx="6">
                  <c:v>0.14964200477326969</c:v>
                </c:pt>
                <c:pt idx="7">
                  <c:v>0.11620839363241678</c:v>
                </c:pt>
                <c:pt idx="8">
                  <c:v>9.2691223636893749E-2</c:v>
                </c:pt>
                <c:pt idx="9">
                  <c:v>7.4508845665135381E-2</c:v>
                </c:pt>
                <c:pt idx="10">
                  <c:v>6.0259179265658748E-2</c:v>
                </c:pt>
              </c:numCache>
            </c:numRef>
          </c:xVal>
          <c:yVal>
            <c:numRef>
              <c:f>'VDO S50 12611404699 801 37 2'!$G$2:$G$12</c:f>
              <c:numCache>
                <c:formatCode>General</c:formatCode>
                <c:ptCount val="1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18-4B69-BE24-D41EF64E341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21466134090070507"/>
                  <c:y val="-0.7375444059018985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'VDO S50 12611404699 801 37 2'!$F$2:$F$12</c:f>
              <c:numCache>
                <c:formatCode>0.0000</c:formatCode>
                <c:ptCount val="11"/>
                <c:pt idx="0">
                  <c:v>0.51440988989762404</c:v>
                </c:pt>
                <c:pt idx="1">
                  <c:v>0.30770613922424866</c:v>
                </c:pt>
                <c:pt idx="2">
                  <c:v>0.25689884531474483</c:v>
                </c:pt>
                <c:pt idx="3">
                  <c:v>0.22239618788291357</c:v>
                </c:pt>
                <c:pt idx="4">
                  <c:v>0.16980781153130814</c:v>
                </c:pt>
                <c:pt idx="5">
                  <c:v>0.13046538234852251</c:v>
                </c:pt>
                <c:pt idx="6">
                  <c:v>0.10144138843947639</c:v>
                </c:pt>
                <c:pt idx="7">
                  <c:v>7.9023648346405018E-2</c:v>
                </c:pt>
                <c:pt idx="8">
                  <c:v>6.3170730238635731E-2</c:v>
                </c:pt>
                <c:pt idx="9">
                  <c:v>5.0865933479323756E-2</c:v>
                </c:pt>
                <c:pt idx="10">
                  <c:v>4.1193122887508704E-2</c:v>
                </c:pt>
              </c:numCache>
            </c:numRef>
          </c:xVal>
          <c:yVal>
            <c:numRef>
              <c:f>'VDO S50 12611404699 801 37 2'!$G$2:$G$12</c:f>
              <c:numCache>
                <c:formatCode>General</c:formatCode>
                <c:ptCount val="1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18-4B69-BE24-D41EF64E3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'Bosch E36 coolant sensor (2)'!$G$1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3.5234547115180995E-2"/>
                  <c:y val="-0.4798614706681015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</a:t>
                    </a:r>
                    <a:r>
                      <a:rPr lang="en-US" sz="900" b="0" i="0" u="none" strike="noStrike" baseline="0">
                        <a:effectLst/>
                      </a:rPr>
                      <a:t>= -8.9368x</a:t>
                    </a:r>
                    <a:r>
                      <a:rPr lang="en-US" sz="900" b="0" i="0" u="none" strike="noStrike" baseline="30000">
                        <a:effectLst/>
                      </a:rPr>
                      <a:t>3</a:t>
                    </a:r>
                    <a:r>
                      <a:rPr lang="en-US" sz="900" b="0" i="0" u="none" strike="noStrike" baseline="0">
                        <a:effectLst/>
                      </a:rPr>
                      <a:t> + 51.392x</a:t>
                    </a:r>
                    <a:r>
                      <a:rPr lang="en-US" sz="900" b="0" i="0" u="none" strike="noStrike" baseline="30000">
                        <a:effectLst/>
                      </a:rPr>
                      <a:t>2</a:t>
                    </a:r>
                    <a:r>
                      <a:rPr lang="en-US" sz="900" b="0" i="0" u="none" strike="noStrike" baseline="0">
                        <a:effectLst/>
                      </a:rPr>
                      <a:t> - 143.25x + 235.45</a:t>
                    </a:r>
                    <a:br>
                      <a:rPr lang="en-US" baseline="0"/>
                    </a:br>
                    <a:r>
                      <a:rPr lang="en-US" baseline="0"/>
                      <a:t>R² = 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 w="317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E36 coolant sensor (2)'!$D$2:$D$12</c:f>
              <c:numCache>
                <c:formatCode>0.0000</c:formatCode>
                <c:ptCount val="11"/>
                <c:pt idx="0">
                  <c:v>2.8478832716810518</c:v>
                </c:pt>
                <c:pt idx="1">
                  <c:v>2.6792325056433408</c:v>
                </c:pt>
                <c:pt idx="2">
                  <c:v>2.4791044776119402</c:v>
                </c:pt>
                <c:pt idx="3">
                  <c:v>2.2550348321722606</c:v>
                </c:pt>
                <c:pt idx="4">
                  <c:v>2.0154534838458544</c:v>
                </c:pt>
                <c:pt idx="5">
                  <c:v>1.7722222222222221</c:v>
                </c:pt>
                <c:pt idx="6">
                  <c:v>1.5352941176470589</c:v>
                </c:pt>
                <c:pt idx="7">
                  <c:v>1.3180180180180181</c:v>
                </c:pt>
                <c:pt idx="8">
                  <c:v>1.1217821782178219</c:v>
                </c:pt>
                <c:pt idx="9">
                  <c:v>0.95124555160142343</c:v>
                </c:pt>
                <c:pt idx="10">
                  <c:v>0.80566893424036268</c:v>
                </c:pt>
              </c:numCache>
            </c:numRef>
          </c:xVal>
          <c:yVal>
            <c:numRef>
              <c:f>'Bosch E36 coolant sensor (2)'!$G$2:$G$12</c:f>
              <c:numCache>
                <c:formatCode>0.0000</c:formatCode>
                <c:ptCount val="11"/>
                <c:pt idx="0">
                  <c:v>37.777777777777779</c:v>
                </c:pt>
                <c:pt idx="1">
                  <c:v>48.888888888888886</c:v>
                </c:pt>
                <c:pt idx="2">
                  <c:v>60</c:v>
                </c:pt>
                <c:pt idx="3">
                  <c:v>71.111111111111114</c:v>
                </c:pt>
                <c:pt idx="4">
                  <c:v>82.222222222222229</c:v>
                </c:pt>
                <c:pt idx="5">
                  <c:v>93.333333333333329</c:v>
                </c:pt>
                <c:pt idx="6">
                  <c:v>104.44444444444444</c:v>
                </c:pt>
                <c:pt idx="7">
                  <c:v>115.55555555555556</c:v>
                </c:pt>
                <c:pt idx="8">
                  <c:v>126.66666666666667</c:v>
                </c:pt>
                <c:pt idx="9">
                  <c:v>137.77777777777777</c:v>
                </c:pt>
                <c:pt idx="10">
                  <c:v>148.88888888888889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6A-4844-BC7A-6967EC0CCF7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21466134090070507"/>
                  <c:y val="-0.73754440590189851"/>
                </c:manualLayout>
              </c:layout>
              <c:numFmt formatCode="General" sourceLinked="0"/>
              <c:spPr>
                <a:noFill/>
                <a:ln w="31750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'Bosch E36 coolant sensor (2)'!$F$2:$F$12</c:f>
              <c:numCache>
                <c:formatCode>0.0000</c:formatCode>
                <c:ptCount val="11"/>
                <c:pt idx="0">
                  <c:v>1.5420504589321482</c:v>
                </c:pt>
                <c:pt idx="1">
                  <c:v>1.4692111482051089</c:v>
                </c:pt>
                <c:pt idx="2">
                  <c:v>1.3803324099722991</c:v>
                </c:pt>
                <c:pt idx="3">
                  <c:v>1.2775269904432627</c:v>
                </c:pt>
                <c:pt idx="4">
                  <c:v>1.1635518600992869</c:v>
                </c:pt>
                <c:pt idx="5">
                  <c:v>1.0433102081268582</c:v>
                </c:pt>
                <c:pt idx="6">
                  <c:v>0.92153487014881807</c:v>
                </c:pt>
                <c:pt idx="7">
                  <c:v>0.80558985483063561</c:v>
                </c:pt>
                <c:pt idx="8">
                  <c:v>0.69716576542979669</c:v>
                </c:pt>
                <c:pt idx="9">
                  <c:v>0.5999387880024486</c:v>
                </c:pt>
                <c:pt idx="10">
                  <c:v>0.51463371812316205</c:v>
                </c:pt>
              </c:numCache>
            </c:numRef>
          </c:xVal>
          <c:yVal>
            <c:numRef>
              <c:f>'Bosch E36 coolant sensor (2)'!$G$2:$G$12</c:f>
              <c:numCache>
                <c:formatCode>0.0000</c:formatCode>
                <c:ptCount val="11"/>
                <c:pt idx="0">
                  <c:v>37.777777777777779</c:v>
                </c:pt>
                <c:pt idx="1">
                  <c:v>48.888888888888886</c:v>
                </c:pt>
                <c:pt idx="2">
                  <c:v>60</c:v>
                </c:pt>
                <c:pt idx="3">
                  <c:v>71.111111111111114</c:v>
                </c:pt>
                <c:pt idx="4">
                  <c:v>82.222222222222229</c:v>
                </c:pt>
                <c:pt idx="5">
                  <c:v>93.333333333333329</c:v>
                </c:pt>
                <c:pt idx="6">
                  <c:v>104.44444444444444</c:v>
                </c:pt>
                <c:pt idx="7">
                  <c:v>115.55555555555556</c:v>
                </c:pt>
                <c:pt idx="8">
                  <c:v>126.66666666666667</c:v>
                </c:pt>
                <c:pt idx="9">
                  <c:v>137.77777777777777</c:v>
                </c:pt>
                <c:pt idx="10">
                  <c:v>148.88888888888889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6A-4844-BC7A-6967EC0CC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01888"/>
        <c:axId val="789408384"/>
      </c:scatterChart>
      <c:valAx>
        <c:axId val="64670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8384"/>
        <c:crosses val="autoZero"/>
        <c:crossBetween val="midCat"/>
      </c:valAx>
      <c:valAx>
        <c:axId val="789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EBF05-52C8-4A06-913F-AFBFFABAA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4EBF1-8489-4C98-BF26-241A6B8AA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2199D-6E96-426A-AF20-FB73E12C9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43E91-09F7-4789-8242-317770A4B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38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F31C9F-676B-1B3A-8D4E-ED882570C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37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3495F-F2EB-456C-927F-65CBAFA15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A0F4F-E2E7-4948-8683-42F688E95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EA79E-CE38-49A0-B3A6-FC20A7ADE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872AC-2635-4532-9C64-A8AA52A5A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739588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28F23-360C-4800-89AA-D8AEE05DD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290512</xdr:colOff>
      <xdr:row>0</xdr:row>
      <xdr:rowOff>128586</xdr:rowOff>
    </xdr:from>
    <xdr:to>
      <xdr:col>19</xdr:col>
      <xdr:colOff>152400</xdr:colOff>
      <xdr:row>35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D7FE4-B19C-5CBD-4C7D-E32D01202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800100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8446B-F6D2-4267-8C23-17466C459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800100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23434-A44D-4E4E-90CA-016453955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347382</xdr:colOff>
      <xdr:row>1</xdr:row>
      <xdr:rowOff>33618</xdr:rowOff>
    </xdr:from>
    <xdr:to>
      <xdr:col>17</xdr:col>
      <xdr:colOff>800100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20335-413A-41B5-867C-C74518303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do-webshop.nl/en/pressure-senders/317-vdo-pressure-sender-0-10-bar-m14-4103590300287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vdo-webshop.nl/en/temperature-sensors/443-vdo-oil-temperature-sender-150c-m12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vdo-webshop.nl/en/temperature-sensors/408-continental-vdo-coolant-temperature-sender-120%C2%B0c-m14-4103590400123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vdo-webshop.nl/en/pressure-senders/633-vdo-pressure-sender-0-5-bar-m10-4103590300300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prosportgauges.co.uk/shop/oil-pressure-sensor-3-160-ohm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F90F-42C0-4ACF-A49D-80DE9DE9461E}">
  <dimension ref="A1:AD46"/>
  <sheetViews>
    <sheetView zoomScaleNormal="100" workbookViewId="0">
      <selection activeCell="C15" sqref="C15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4.42578125" style="1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3"/>
      <c r="X1" s="2"/>
      <c r="Y1" s="2" t="s">
        <v>17</v>
      </c>
      <c r="Z1" s="4"/>
      <c r="AA1" s="2"/>
      <c r="AB1" s="2"/>
      <c r="AC1" s="3"/>
      <c r="AD1" s="2"/>
    </row>
    <row r="2" spans="1:30" x14ac:dyDescent="0.25">
      <c r="A2">
        <v>1000</v>
      </c>
      <c r="B2">
        <v>3.3</v>
      </c>
      <c r="C2" s="9">
        <v>89</v>
      </c>
      <c r="D2" s="10">
        <f>($B$2*C2)/($A$2+C2)</f>
        <v>0.26969696969696971</v>
      </c>
      <c r="E2" s="9">
        <f>C2*($A$6+$A$7)/(C2+$A$6+$A$7)</f>
        <v>86.591669200364848</v>
      </c>
      <c r="F2" s="11">
        <f>(($B$2*E2)/($B$6+E2))*$A$6/($A$6+$A$7)</f>
        <v>0.18079914936482172</v>
      </c>
      <c r="G2" s="9">
        <v>130</v>
      </c>
      <c r="R2" s="2"/>
      <c r="S2" s="2" t="s">
        <v>8</v>
      </c>
      <c r="T2" s="4">
        <f>D2</f>
        <v>0.26969696969696971</v>
      </c>
      <c r="U2" s="2" t="s">
        <v>3</v>
      </c>
      <c r="V2" s="2" t="s">
        <v>9</v>
      </c>
      <c r="W2" s="3">
        <f>G2</f>
        <v>130</v>
      </c>
      <c r="X2" s="2" t="s">
        <v>4</v>
      </c>
      <c r="Y2" s="2" t="s">
        <v>8</v>
      </c>
      <c r="Z2" s="4">
        <f>F2</f>
        <v>0.18079914936482172</v>
      </c>
      <c r="AA2" s="2" t="s">
        <v>3</v>
      </c>
      <c r="AB2" s="2" t="s">
        <v>9</v>
      </c>
      <c r="AC2" s="3">
        <f>G2</f>
        <v>130</v>
      </c>
      <c r="AD2" s="2" t="s">
        <v>4</v>
      </c>
    </row>
    <row r="3" spans="1:30" x14ac:dyDescent="0.25">
      <c r="C3" s="9">
        <v>113</v>
      </c>
      <c r="D3" s="10">
        <f>($B$2*C3)/($A$2+C3)</f>
        <v>0.33504043126684635</v>
      </c>
      <c r="E3" s="9">
        <f t="shared" ref="E3:E19" si="0">C3*($A$6+$A$7)/(C3+$A$6+$A$7)</f>
        <v>109.14578931482041</v>
      </c>
      <c r="F3" s="11">
        <f t="shared" ref="F3:F19" si="1">(($B$2*E3)/($B$6+E3))*$A$6/($A$6+$A$7)</f>
        <v>0.22325695313775648</v>
      </c>
      <c r="G3" s="9">
        <v>120</v>
      </c>
      <c r="R3" s="2"/>
      <c r="S3" s="2" t="s">
        <v>8</v>
      </c>
      <c r="T3" s="4">
        <f t="shared" ref="T3:T19" si="2">D3</f>
        <v>0.33504043126684635</v>
      </c>
      <c r="U3" s="2" t="s">
        <v>3</v>
      </c>
      <c r="V3" s="2" t="s">
        <v>9</v>
      </c>
      <c r="W3" s="3">
        <f t="shared" ref="W3:W19" si="3">G3</f>
        <v>120</v>
      </c>
      <c r="X3" s="2" t="s">
        <v>4</v>
      </c>
      <c r="Y3" s="2" t="s">
        <v>8</v>
      </c>
      <c r="Z3" s="4">
        <f t="shared" ref="Z3:Z19" si="4">F3</f>
        <v>0.22325695313775648</v>
      </c>
      <c r="AA3" s="2" t="s">
        <v>3</v>
      </c>
      <c r="AB3" s="2" t="s">
        <v>9</v>
      </c>
      <c r="AC3" s="3">
        <f t="shared" ref="AC3:AC19" si="5">G3</f>
        <v>120</v>
      </c>
      <c r="AD3" s="2" t="s">
        <v>4</v>
      </c>
    </row>
    <row r="4" spans="1:30" x14ac:dyDescent="0.25">
      <c r="A4" t="s">
        <v>13</v>
      </c>
      <c r="C4" s="9">
        <v>144</v>
      </c>
      <c r="D4" s="10">
        <f t="shared" ref="D4:D19" si="6">($B$2*C4)/($A$2+C4)</f>
        <v>0.41538461538461535</v>
      </c>
      <c r="E4" s="9">
        <f t="shared" si="0"/>
        <v>137.79904306220095</v>
      </c>
      <c r="F4" s="11">
        <f t="shared" si="1"/>
        <v>0.27476871320437335</v>
      </c>
      <c r="G4" s="9">
        <v>110</v>
      </c>
      <c r="R4" s="2"/>
      <c r="S4" s="2" t="s">
        <v>8</v>
      </c>
      <c r="T4" s="4">
        <f t="shared" si="2"/>
        <v>0.41538461538461535</v>
      </c>
      <c r="U4" s="2" t="s">
        <v>3</v>
      </c>
      <c r="V4" s="2" t="s">
        <v>9</v>
      </c>
      <c r="W4" s="3">
        <f t="shared" si="3"/>
        <v>110</v>
      </c>
      <c r="X4" s="2" t="s">
        <v>4</v>
      </c>
      <c r="Y4" s="2" t="s">
        <v>8</v>
      </c>
      <c r="Z4" s="4">
        <f t="shared" si="4"/>
        <v>0.27476871320437335</v>
      </c>
      <c r="AA4" s="2" t="s">
        <v>3</v>
      </c>
      <c r="AB4" s="2" t="s">
        <v>9</v>
      </c>
      <c r="AC4" s="3">
        <f t="shared" si="5"/>
        <v>110</v>
      </c>
      <c r="AD4" s="2" t="s">
        <v>4</v>
      </c>
    </row>
    <row r="5" spans="1:30" x14ac:dyDescent="0.25">
      <c r="A5" t="s">
        <v>11</v>
      </c>
      <c r="B5" t="s">
        <v>14</v>
      </c>
      <c r="C5" s="9">
        <v>187</v>
      </c>
      <c r="D5" s="10">
        <f t="shared" si="6"/>
        <v>0.51988205560235889</v>
      </c>
      <c r="E5" s="9">
        <f t="shared" si="0"/>
        <v>176.67552406259227</v>
      </c>
      <c r="F5" s="11">
        <f t="shared" si="1"/>
        <v>0.34064836653786318</v>
      </c>
      <c r="G5" s="9">
        <v>100</v>
      </c>
      <c r="R5" s="2"/>
      <c r="S5" s="2" t="s">
        <v>8</v>
      </c>
      <c r="T5" s="4">
        <f t="shared" si="2"/>
        <v>0.51988205560235889</v>
      </c>
      <c r="U5" s="2" t="s">
        <v>3</v>
      </c>
      <c r="V5" s="2" t="s">
        <v>9</v>
      </c>
      <c r="W5" s="3">
        <f t="shared" si="3"/>
        <v>100</v>
      </c>
      <c r="X5" s="2" t="s">
        <v>4</v>
      </c>
      <c r="Y5" s="2" t="s">
        <v>8</v>
      </c>
      <c r="Z5" s="4">
        <f t="shared" si="4"/>
        <v>0.34064836653786318</v>
      </c>
      <c r="AA5" s="2" t="s">
        <v>3</v>
      </c>
      <c r="AB5" s="2" t="s">
        <v>9</v>
      </c>
      <c r="AC5" s="3">
        <f t="shared" si="5"/>
        <v>100</v>
      </c>
      <c r="AD5" s="2" t="s">
        <v>4</v>
      </c>
    </row>
    <row r="6" spans="1:30" x14ac:dyDescent="0.25">
      <c r="A6">
        <v>2200</v>
      </c>
      <c r="B6">
        <v>1000</v>
      </c>
      <c r="C6" s="9">
        <v>243</v>
      </c>
      <c r="D6" s="10">
        <f t="shared" si="6"/>
        <v>0.64513274336283188</v>
      </c>
      <c r="E6" s="9">
        <f t="shared" si="0"/>
        <v>225.84954981121115</v>
      </c>
      <c r="F6" s="11">
        <f t="shared" si="1"/>
        <v>0.41799270245936598</v>
      </c>
      <c r="G6" s="9">
        <v>90</v>
      </c>
      <c r="R6" s="2"/>
      <c r="S6" s="2" t="s">
        <v>8</v>
      </c>
      <c r="T6" s="4">
        <f t="shared" si="2"/>
        <v>0.64513274336283188</v>
      </c>
      <c r="U6" s="2" t="s">
        <v>3</v>
      </c>
      <c r="V6" s="2" t="s">
        <v>9</v>
      </c>
      <c r="W6" s="3">
        <f t="shared" si="3"/>
        <v>90</v>
      </c>
      <c r="X6" s="2" t="s">
        <v>4</v>
      </c>
      <c r="Y6" s="2" t="s">
        <v>8</v>
      </c>
      <c r="Z6" s="4">
        <f t="shared" si="4"/>
        <v>0.41799270245936598</v>
      </c>
      <c r="AA6" s="2" t="s">
        <v>3</v>
      </c>
      <c r="AB6" s="2" t="s">
        <v>9</v>
      </c>
      <c r="AC6" s="3">
        <f t="shared" si="5"/>
        <v>90</v>
      </c>
      <c r="AD6" s="2" t="s">
        <v>4</v>
      </c>
    </row>
    <row r="7" spans="1:30" x14ac:dyDescent="0.25">
      <c r="A7">
        <v>1000</v>
      </c>
      <c r="C7" s="9">
        <v>323</v>
      </c>
      <c r="D7" s="10">
        <f t="shared" si="6"/>
        <v>0.80566893424036268</v>
      </c>
      <c r="E7" s="9">
        <f t="shared" si="0"/>
        <v>293.38631847856942</v>
      </c>
      <c r="F7" s="11">
        <f t="shared" si="1"/>
        <v>0.51463371812316205</v>
      </c>
      <c r="G7" s="9">
        <v>80</v>
      </c>
      <c r="R7" s="2"/>
      <c r="S7" s="2" t="s">
        <v>8</v>
      </c>
      <c r="T7" s="4">
        <f t="shared" si="2"/>
        <v>0.80566893424036268</v>
      </c>
      <c r="U7" s="2" t="s">
        <v>3</v>
      </c>
      <c r="V7" s="2" t="s">
        <v>9</v>
      </c>
      <c r="W7" s="3">
        <f t="shared" si="3"/>
        <v>80</v>
      </c>
      <c r="X7" s="2" t="s">
        <v>4</v>
      </c>
      <c r="Y7" s="2" t="s">
        <v>8</v>
      </c>
      <c r="Z7" s="4">
        <f t="shared" si="4"/>
        <v>0.51463371812316205</v>
      </c>
      <c r="AA7" s="2" t="s">
        <v>3</v>
      </c>
      <c r="AB7" s="2" t="s">
        <v>9</v>
      </c>
      <c r="AC7" s="3">
        <f t="shared" si="5"/>
        <v>80</v>
      </c>
      <c r="AD7" s="2" t="s">
        <v>4</v>
      </c>
    </row>
    <row r="8" spans="1:30" x14ac:dyDescent="0.25">
      <c r="C8" s="9">
        <v>436</v>
      </c>
      <c r="D8" s="10">
        <f t="shared" si="6"/>
        <v>1.0019498607242339</v>
      </c>
      <c r="E8" s="9">
        <f t="shared" si="0"/>
        <v>383.71837183718372</v>
      </c>
      <c r="F8" s="11">
        <f t="shared" si="1"/>
        <v>0.62914612816027971</v>
      </c>
      <c r="G8" s="9">
        <v>70</v>
      </c>
      <c r="R8" s="2"/>
      <c r="S8" s="2" t="s">
        <v>8</v>
      </c>
      <c r="T8" s="4">
        <f t="shared" si="2"/>
        <v>1.0019498607242339</v>
      </c>
      <c r="U8" s="2" t="s">
        <v>3</v>
      </c>
      <c r="V8" s="2" t="s">
        <v>9</v>
      </c>
      <c r="W8" s="3">
        <f t="shared" si="3"/>
        <v>70</v>
      </c>
      <c r="X8" s="2" t="s">
        <v>4</v>
      </c>
      <c r="Y8" s="2" t="s">
        <v>8</v>
      </c>
      <c r="Z8" s="4">
        <f t="shared" si="4"/>
        <v>0.62914612816027971</v>
      </c>
      <c r="AA8" s="2" t="s">
        <v>3</v>
      </c>
      <c r="AB8" s="2" t="s">
        <v>9</v>
      </c>
      <c r="AC8" s="3">
        <f t="shared" si="5"/>
        <v>70</v>
      </c>
      <c r="AD8" s="2" t="s">
        <v>4</v>
      </c>
    </row>
    <row r="9" spans="1:30" x14ac:dyDescent="0.25">
      <c r="C9" s="9">
        <v>596</v>
      </c>
      <c r="D9" s="10">
        <f t="shared" si="6"/>
        <v>1.2323308270676692</v>
      </c>
      <c r="E9" s="9">
        <f t="shared" si="0"/>
        <v>502.42360379346678</v>
      </c>
      <c r="F9" s="11">
        <f t="shared" si="1"/>
        <v>0.75868985832515068</v>
      </c>
      <c r="G9" s="9">
        <v>60</v>
      </c>
      <c r="R9" s="2"/>
      <c r="S9" s="2" t="s">
        <v>8</v>
      </c>
      <c r="T9" s="4">
        <f t="shared" si="2"/>
        <v>1.2323308270676692</v>
      </c>
      <c r="U9" s="2" t="s">
        <v>3</v>
      </c>
      <c r="V9" s="2" t="s">
        <v>9</v>
      </c>
      <c r="W9" s="3">
        <f t="shared" si="3"/>
        <v>60</v>
      </c>
      <c r="X9" s="2" t="s">
        <v>4</v>
      </c>
      <c r="Y9" s="2" t="s">
        <v>8</v>
      </c>
      <c r="Z9" s="4">
        <f t="shared" si="4"/>
        <v>0.75868985832515068</v>
      </c>
      <c r="AA9" s="2" t="s">
        <v>3</v>
      </c>
      <c r="AB9" s="2" t="s">
        <v>9</v>
      </c>
      <c r="AC9" s="3">
        <f t="shared" si="5"/>
        <v>60</v>
      </c>
      <c r="AD9" s="2" t="s">
        <v>4</v>
      </c>
    </row>
    <row r="10" spans="1:30" x14ac:dyDescent="0.25">
      <c r="C10" s="9">
        <v>834</v>
      </c>
      <c r="D10" s="10">
        <f t="shared" si="6"/>
        <v>1.5006543075245364</v>
      </c>
      <c r="E10" s="9">
        <f t="shared" si="0"/>
        <v>661.57659890927118</v>
      </c>
      <c r="F10" s="11">
        <f>(($B$2*E10)/($B$6+E10))*$A$6/($A$6+$A$7)</f>
        <v>0.90332995166199215</v>
      </c>
      <c r="G10" s="9">
        <v>50</v>
      </c>
      <c r="R10" s="2"/>
      <c r="S10" s="2" t="s">
        <v>8</v>
      </c>
      <c r="T10" s="4">
        <f t="shared" si="2"/>
        <v>1.5006543075245364</v>
      </c>
      <c r="U10" s="2" t="s">
        <v>3</v>
      </c>
      <c r="V10" s="2" t="s">
        <v>9</v>
      </c>
      <c r="W10" s="3">
        <f t="shared" si="3"/>
        <v>50</v>
      </c>
      <c r="X10" s="2" t="s">
        <v>4</v>
      </c>
      <c r="Y10" s="2" t="s">
        <v>8</v>
      </c>
      <c r="Z10" s="4">
        <f t="shared" si="4"/>
        <v>0.90332995166199215</v>
      </c>
      <c r="AA10" s="2" t="s">
        <v>3</v>
      </c>
      <c r="AB10" s="2" t="s">
        <v>9</v>
      </c>
      <c r="AC10" s="3">
        <f t="shared" si="5"/>
        <v>50</v>
      </c>
      <c r="AD10" s="2" t="s">
        <v>4</v>
      </c>
    </row>
    <row r="11" spans="1:30" x14ac:dyDescent="0.25">
      <c r="C11" s="9">
        <v>1175</v>
      </c>
      <c r="D11" s="10">
        <f t="shared" si="6"/>
        <v>1.7827586206896551</v>
      </c>
      <c r="E11" s="9">
        <f t="shared" si="0"/>
        <v>859.42857142857144</v>
      </c>
      <c r="F11" s="11">
        <f>(($B$2*E11)/($B$6+E11))*$A$6/($A$6+$A$7)</f>
        <v>1.048617086662569</v>
      </c>
      <c r="G11" s="9">
        <v>40</v>
      </c>
      <c r="R11" s="2"/>
      <c r="S11" s="2" t="s">
        <v>8</v>
      </c>
      <c r="T11" s="4">
        <f t="shared" si="2"/>
        <v>1.7827586206896551</v>
      </c>
      <c r="U11" s="2" t="s">
        <v>3</v>
      </c>
      <c r="V11" s="2" t="s">
        <v>9</v>
      </c>
      <c r="W11" s="3">
        <f t="shared" si="3"/>
        <v>40</v>
      </c>
      <c r="X11" s="2" t="s">
        <v>4</v>
      </c>
      <c r="Y11" s="2" t="s">
        <v>8</v>
      </c>
      <c r="Z11" s="4">
        <f t="shared" si="4"/>
        <v>1.048617086662569</v>
      </c>
      <c r="AA11" s="2" t="s">
        <v>3</v>
      </c>
      <c r="AB11" s="2" t="s">
        <v>9</v>
      </c>
      <c r="AC11" s="3">
        <f t="shared" si="5"/>
        <v>40</v>
      </c>
      <c r="AD11" s="2" t="s">
        <v>4</v>
      </c>
    </row>
    <row r="12" spans="1:30" x14ac:dyDescent="0.25">
      <c r="C12" s="9">
        <v>1707</v>
      </c>
      <c r="D12" s="10">
        <f t="shared" si="6"/>
        <v>2.0809383080901367</v>
      </c>
      <c r="E12" s="9">
        <f t="shared" si="0"/>
        <v>1113.1852455675566</v>
      </c>
      <c r="F12" s="11">
        <f t="shared" si="1"/>
        <v>1.195133758944587</v>
      </c>
      <c r="G12" s="9">
        <v>30</v>
      </c>
      <c r="R12" s="2"/>
      <c r="S12" s="2" t="s">
        <v>8</v>
      </c>
      <c r="T12" s="4">
        <f t="shared" si="2"/>
        <v>2.0809383080901367</v>
      </c>
      <c r="U12" s="2" t="s">
        <v>3</v>
      </c>
      <c r="V12" s="2" t="s">
        <v>9</v>
      </c>
      <c r="W12" s="3">
        <f t="shared" si="3"/>
        <v>30</v>
      </c>
      <c r="X12" s="2" t="s">
        <v>4</v>
      </c>
      <c r="Y12" s="2" t="s">
        <v>8</v>
      </c>
      <c r="Z12" s="4">
        <f t="shared" si="4"/>
        <v>1.195133758944587</v>
      </c>
      <c r="AA12" s="2" t="s">
        <v>3</v>
      </c>
      <c r="AB12" s="2" t="s">
        <v>9</v>
      </c>
      <c r="AC12" s="3">
        <f t="shared" si="5"/>
        <v>30</v>
      </c>
      <c r="AD12" s="2" t="s">
        <v>4</v>
      </c>
    </row>
    <row r="13" spans="1:30" x14ac:dyDescent="0.25">
      <c r="C13" s="9">
        <v>2500</v>
      </c>
      <c r="D13" s="10">
        <f t="shared" si="6"/>
        <v>2.3571428571428572</v>
      </c>
      <c r="E13" s="9">
        <f t="shared" si="0"/>
        <v>1403.5087719298247</v>
      </c>
      <c r="F13" s="11">
        <f t="shared" si="1"/>
        <v>1.3248175182481754</v>
      </c>
      <c r="G13" s="9">
        <v>20</v>
      </c>
      <c r="R13" s="2"/>
      <c r="S13" s="2" t="s">
        <v>8</v>
      </c>
      <c r="T13" s="4">
        <f t="shared" si="2"/>
        <v>2.3571428571428572</v>
      </c>
      <c r="U13" s="2" t="s">
        <v>3</v>
      </c>
      <c r="V13" s="2" t="s">
        <v>9</v>
      </c>
      <c r="W13" s="3">
        <f t="shared" si="3"/>
        <v>20</v>
      </c>
      <c r="X13" s="2" t="s">
        <v>4</v>
      </c>
      <c r="Y13" s="2" t="s">
        <v>8</v>
      </c>
      <c r="Z13" s="4">
        <f t="shared" si="4"/>
        <v>1.3248175182481754</v>
      </c>
      <c r="AA13" s="2" t="s">
        <v>3</v>
      </c>
      <c r="AB13" s="2" t="s">
        <v>9</v>
      </c>
      <c r="AC13" s="3">
        <f t="shared" si="5"/>
        <v>20</v>
      </c>
      <c r="AD13" s="2" t="s">
        <v>4</v>
      </c>
    </row>
    <row r="14" spans="1:30" x14ac:dyDescent="0.25">
      <c r="C14" s="9">
        <v>3792</v>
      </c>
      <c r="D14" s="10">
        <f t="shared" si="6"/>
        <v>2.6113522537562601</v>
      </c>
      <c r="E14" s="9">
        <f t="shared" si="0"/>
        <v>1735.4691075514875</v>
      </c>
      <c r="F14" s="11">
        <f t="shared" si="1"/>
        <v>1.4393675757068762</v>
      </c>
      <c r="G14" s="9">
        <v>10</v>
      </c>
      <c r="R14" s="2"/>
      <c r="S14" s="2" t="s">
        <v>8</v>
      </c>
      <c r="T14" s="4">
        <f t="shared" si="2"/>
        <v>2.6113522537562601</v>
      </c>
      <c r="U14" s="2" t="s">
        <v>3</v>
      </c>
      <c r="V14" s="2" t="s">
        <v>9</v>
      </c>
      <c r="W14" s="3">
        <f t="shared" si="3"/>
        <v>10</v>
      </c>
      <c r="X14" s="2" t="s">
        <v>4</v>
      </c>
      <c r="Y14" s="2" t="s">
        <v>8</v>
      </c>
      <c r="Z14" s="4">
        <f t="shared" si="4"/>
        <v>1.4393675757068762</v>
      </c>
      <c r="AA14" s="2" t="s">
        <v>3</v>
      </c>
      <c r="AB14" s="2" t="s">
        <v>9</v>
      </c>
      <c r="AC14" s="3">
        <f t="shared" si="5"/>
        <v>10</v>
      </c>
      <c r="AD14" s="2" t="s">
        <v>4</v>
      </c>
    </row>
    <row r="15" spans="1:30" x14ac:dyDescent="0.25">
      <c r="C15" s="9">
        <v>5896</v>
      </c>
      <c r="D15" s="10">
        <f t="shared" si="6"/>
        <v>2.821461716937355</v>
      </c>
      <c r="E15" s="9">
        <f t="shared" si="0"/>
        <v>2074.230430958663</v>
      </c>
      <c r="F15" s="11">
        <f t="shared" si="1"/>
        <v>1.5307604279910736</v>
      </c>
      <c r="G15" s="9">
        <v>0</v>
      </c>
      <c r="R15" s="2"/>
      <c r="S15" s="2" t="s">
        <v>8</v>
      </c>
      <c r="T15" s="4">
        <f t="shared" si="2"/>
        <v>2.821461716937355</v>
      </c>
      <c r="U15" s="2" t="s">
        <v>3</v>
      </c>
      <c r="V15" s="2" t="s">
        <v>9</v>
      </c>
      <c r="W15" s="3">
        <f t="shared" si="3"/>
        <v>0</v>
      </c>
      <c r="X15" s="2" t="s">
        <v>4</v>
      </c>
      <c r="Y15" s="2" t="s">
        <v>8</v>
      </c>
      <c r="Z15" s="4">
        <f t="shared" si="4"/>
        <v>1.5307604279910736</v>
      </c>
      <c r="AA15" s="2" t="s">
        <v>3</v>
      </c>
      <c r="AB15" s="2" t="s">
        <v>9</v>
      </c>
      <c r="AC15" s="3">
        <f t="shared" si="5"/>
        <v>0</v>
      </c>
      <c r="AD15" s="2" t="s">
        <v>4</v>
      </c>
    </row>
    <row r="16" spans="1:30" x14ac:dyDescent="0.25">
      <c r="C16" s="9">
        <v>9397</v>
      </c>
      <c r="D16" s="10">
        <f t="shared" si="6"/>
        <v>2.9826007502164082</v>
      </c>
      <c r="E16" s="9">
        <f t="shared" si="0"/>
        <v>2387.1080415972056</v>
      </c>
      <c r="F16" s="11">
        <f t="shared" si="1"/>
        <v>1.5989307996268811</v>
      </c>
      <c r="G16" s="9">
        <v>-10</v>
      </c>
      <c r="R16" s="2"/>
      <c r="S16" s="2" t="s">
        <v>8</v>
      </c>
      <c r="T16" s="4">
        <f t="shared" si="2"/>
        <v>2.9826007502164082</v>
      </c>
      <c r="U16" s="2" t="s">
        <v>3</v>
      </c>
      <c r="V16" s="2" t="s">
        <v>9</v>
      </c>
      <c r="W16" s="3">
        <f t="shared" si="3"/>
        <v>-10</v>
      </c>
      <c r="X16" s="2" t="s">
        <v>4</v>
      </c>
      <c r="Y16" s="2" t="s">
        <v>8</v>
      </c>
      <c r="Z16" s="4">
        <f t="shared" si="4"/>
        <v>1.5989307996268811</v>
      </c>
      <c r="AA16" s="2" t="s">
        <v>3</v>
      </c>
      <c r="AB16" s="2" t="s">
        <v>9</v>
      </c>
      <c r="AC16" s="3">
        <f t="shared" si="5"/>
        <v>-10</v>
      </c>
      <c r="AD16" s="2" t="s">
        <v>4</v>
      </c>
    </row>
    <row r="17" spans="1:30" x14ac:dyDescent="0.25">
      <c r="C17" s="9">
        <v>15462</v>
      </c>
      <c r="D17" s="10">
        <f>($B$2*C17)/($A$2+C17)</f>
        <v>3.0995383307010083</v>
      </c>
      <c r="E17" s="9">
        <f t="shared" si="0"/>
        <v>2651.2913942771406</v>
      </c>
      <c r="F17" s="11">
        <f t="shared" si="1"/>
        <v>1.6473944972439256</v>
      </c>
      <c r="G17" s="9">
        <v>-20</v>
      </c>
      <c r="R17" s="2"/>
      <c r="S17" s="2" t="s">
        <v>8</v>
      </c>
      <c r="T17" s="4">
        <f t="shared" si="2"/>
        <v>3.0995383307010083</v>
      </c>
      <c r="U17" s="2" t="s">
        <v>3</v>
      </c>
      <c r="V17" s="2" t="s">
        <v>9</v>
      </c>
      <c r="W17" s="3">
        <f t="shared" si="3"/>
        <v>-20</v>
      </c>
      <c r="X17" s="2" t="s">
        <v>4</v>
      </c>
      <c r="Y17" s="2" t="s">
        <v>8</v>
      </c>
      <c r="Z17" s="4">
        <f t="shared" si="4"/>
        <v>1.6473944972439256</v>
      </c>
      <c r="AA17" s="2" t="s">
        <v>3</v>
      </c>
      <c r="AB17" s="2" t="s">
        <v>9</v>
      </c>
      <c r="AC17" s="3">
        <f t="shared" si="5"/>
        <v>-20</v>
      </c>
      <c r="AD17" s="2" t="s">
        <v>4</v>
      </c>
    </row>
    <row r="18" spans="1:30" x14ac:dyDescent="0.25">
      <c r="C18" s="9">
        <v>26114</v>
      </c>
      <c r="D18" s="10">
        <f t="shared" si="6"/>
        <v>3.1782916574463376</v>
      </c>
      <c r="E18" s="9">
        <f t="shared" si="0"/>
        <v>2850.6788565190695</v>
      </c>
      <c r="F18" s="11">
        <f t="shared" si="1"/>
        <v>1.6795681740061021</v>
      </c>
      <c r="G18" s="9">
        <v>-30</v>
      </c>
      <c r="R18" s="2"/>
      <c r="S18" s="2" t="s">
        <v>8</v>
      </c>
      <c r="T18" s="4">
        <f t="shared" si="2"/>
        <v>3.1782916574463376</v>
      </c>
      <c r="U18" s="2" t="s">
        <v>3</v>
      </c>
      <c r="V18" s="2" t="s">
        <v>9</v>
      </c>
      <c r="W18" s="3">
        <f t="shared" si="3"/>
        <v>-30</v>
      </c>
      <c r="X18" s="2" t="s">
        <v>4</v>
      </c>
      <c r="Y18" s="2" t="s">
        <v>8</v>
      </c>
      <c r="Z18" s="4">
        <f t="shared" si="4"/>
        <v>1.6795681740061021</v>
      </c>
      <c r="AA18" s="2" t="s">
        <v>3</v>
      </c>
      <c r="AB18" s="2" t="s">
        <v>9</v>
      </c>
      <c r="AC18" s="3">
        <f t="shared" si="5"/>
        <v>-30</v>
      </c>
      <c r="AD18" s="2" t="s">
        <v>4</v>
      </c>
    </row>
    <row r="19" spans="1:30" x14ac:dyDescent="0.25">
      <c r="C19" s="9">
        <v>45313</v>
      </c>
      <c r="D19" s="10">
        <f t="shared" si="6"/>
        <v>3.2287457085483555</v>
      </c>
      <c r="E19" s="9">
        <f t="shared" si="0"/>
        <v>2988.9225568404345</v>
      </c>
      <c r="F19" s="11">
        <f t="shared" si="1"/>
        <v>1.699987391132245</v>
      </c>
      <c r="G19" s="9">
        <v>-40</v>
      </c>
      <c r="R19" s="2"/>
      <c r="S19" s="2" t="s">
        <v>8</v>
      </c>
      <c r="T19" s="4">
        <f t="shared" si="2"/>
        <v>3.2287457085483555</v>
      </c>
      <c r="U19" s="2" t="s">
        <v>3</v>
      </c>
      <c r="V19" s="2" t="s">
        <v>9</v>
      </c>
      <c r="W19" s="3">
        <f t="shared" si="3"/>
        <v>-40</v>
      </c>
      <c r="X19" s="2" t="s">
        <v>5</v>
      </c>
      <c r="Y19" s="2" t="s">
        <v>8</v>
      </c>
      <c r="Z19" s="4">
        <f t="shared" si="4"/>
        <v>1.699987391132245</v>
      </c>
      <c r="AA19" s="2" t="s">
        <v>3</v>
      </c>
      <c r="AB19" s="2" t="s">
        <v>9</v>
      </c>
      <c r="AC19" s="3">
        <f t="shared" si="5"/>
        <v>-40</v>
      </c>
      <c r="AD19" s="2" t="s">
        <v>5</v>
      </c>
    </row>
    <row r="20" spans="1:30" x14ac:dyDescent="0.25">
      <c r="R20" s="2"/>
      <c r="S20" s="2" t="s">
        <v>7</v>
      </c>
      <c r="T20" s="4"/>
      <c r="U20" s="2"/>
      <c r="V20" s="2"/>
      <c r="W20" s="3"/>
      <c r="X20" s="2"/>
      <c r="Y20" s="2" t="s">
        <v>7</v>
      </c>
      <c r="Z20" s="4"/>
      <c r="AA20" s="2"/>
      <c r="AB20" s="2"/>
      <c r="AC20" s="3"/>
      <c r="AD20" s="2"/>
    </row>
    <row r="23" spans="1:30" x14ac:dyDescent="0.25">
      <c r="A23" t="s">
        <v>23</v>
      </c>
    </row>
    <row r="25" spans="1:30" x14ac:dyDescent="0.25">
      <c r="A25" s="6"/>
    </row>
    <row r="46" spans="20:27" x14ac:dyDescent="0.25">
      <c r="T46"/>
      <c r="U46">
        <v>71.900000000000006</v>
      </c>
      <c r="Z46"/>
      <c r="AA46">
        <v>71.900000000000006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F8C9-F529-4B67-B412-6C7AF16A7302}">
  <dimension ref="A1:AD54"/>
  <sheetViews>
    <sheetView zoomScale="85" zoomScaleNormal="85" workbookViewId="0">
      <selection activeCell="I35" sqref="I35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style="9" bestFit="1" customWidth="1"/>
    <col min="4" max="5" width="12.42578125" style="9" customWidth="1"/>
    <col min="6" max="6" width="14.5703125" style="9" bestFit="1" customWidth="1"/>
    <col min="7" max="7" width="16.7109375" style="9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4.42578125" style="1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22</v>
      </c>
      <c r="R1" s="2" t="s">
        <v>6</v>
      </c>
      <c r="S1" s="2"/>
      <c r="T1" s="4"/>
      <c r="U1" s="2"/>
      <c r="V1" s="2"/>
      <c r="W1" s="3"/>
      <c r="X1" s="2"/>
      <c r="Y1" s="2" t="s">
        <v>17</v>
      </c>
      <c r="Z1" s="4"/>
      <c r="AA1" s="2"/>
      <c r="AB1" s="2"/>
      <c r="AC1" s="3"/>
      <c r="AD1" s="2"/>
    </row>
    <row r="2" spans="1:30" x14ac:dyDescent="0.25">
      <c r="A2">
        <v>90.909099999999995</v>
      </c>
      <c r="B2">
        <v>3.3</v>
      </c>
      <c r="C2" s="9">
        <v>10</v>
      </c>
      <c r="D2" s="10">
        <f t="shared" ref="D2:D15" si="0">($B$2*C2)/($A$2+C2)</f>
        <v>0.32702699756513537</v>
      </c>
      <c r="E2" s="9">
        <f>C2*($A$6+$A$7)/(C2+$A$6+$A$7)</f>
        <v>9.9688473520249214</v>
      </c>
      <c r="F2" s="11">
        <f>(($B$2*E2)/($B$6+E2))*$A$6/($A$6+$A$7)</f>
        <v>0.17401725790987535</v>
      </c>
      <c r="G2" s="9">
        <v>0</v>
      </c>
      <c r="R2" s="2"/>
      <c r="S2" s="2" t="s">
        <v>8</v>
      </c>
      <c r="T2" s="4">
        <f>D2</f>
        <v>0.32702699756513537</v>
      </c>
      <c r="U2" s="2" t="s">
        <v>3</v>
      </c>
      <c r="V2" s="2" t="s">
        <v>9</v>
      </c>
      <c r="W2" s="3">
        <f>G2</f>
        <v>0</v>
      </c>
      <c r="X2" s="2" t="s">
        <v>4</v>
      </c>
      <c r="Y2" s="2" t="s">
        <v>8</v>
      </c>
      <c r="Z2" s="4">
        <f>F2</f>
        <v>0.17401725790987535</v>
      </c>
      <c r="AA2" s="2" t="s">
        <v>3</v>
      </c>
      <c r="AB2" s="2" t="s">
        <v>9</v>
      </c>
      <c r="AC2" s="3">
        <f>G2</f>
        <v>0</v>
      </c>
      <c r="AD2" s="2" t="s">
        <v>4</v>
      </c>
    </row>
    <row r="3" spans="1:30" x14ac:dyDescent="0.25">
      <c r="C3" s="9">
        <v>21</v>
      </c>
      <c r="D3" s="10">
        <f>($B$2*C3)/($A$2+C3)</f>
        <v>0.61925258982513487</v>
      </c>
      <c r="E3" s="9">
        <f t="shared" ref="E3:E15" si="1">C3*($A$6+$A$7)/(C3+$A$6+$A$7)</f>
        <v>20.863085998137226</v>
      </c>
      <c r="F3" s="11">
        <f t="shared" ref="F3:F15" si="2">(($B$2*E3)/($B$6+E3))*$A$6/($A$6+$A$7)</f>
        <v>0.33602221634488233</v>
      </c>
      <c r="G3" s="9">
        <v>0.5</v>
      </c>
      <c r="R3" s="2"/>
      <c r="S3" s="2" t="s">
        <v>8</v>
      </c>
      <c r="T3" s="4">
        <f t="shared" ref="T3:T27" si="3">D3</f>
        <v>0.61925258982513487</v>
      </c>
      <c r="U3" s="2" t="s">
        <v>3</v>
      </c>
      <c r="V3" s="2" t="s">
        <v>9</v>
      </c>
      <c r="W3" s="3">
        <f t="shared" ref="W3:W27" si="4">G3</f>
        <v>0.5</v>
      </c>
      <c r="X3" s="2" t="s">
        <v>4</v>
      </c>
      <c r="Y3" s="2" t="s">
        <v>8</v>
      </c>
      <c r="Z3" s="4">
        <f t="shared" ref="Z3:Z27" si="5">F3</f>
        <v>0.33602221634488233</v>
      </c>
      <c r="AA3" s="2" t="s">
        <v>3</v>
      </c>
      <c r="AB3" s="2" t="s">
        <v>9</v>
      </c>
      <c r="AC3" s="3">
        <f t="shared" ref="AC3:AC27" si="6">G3</f>
        <v>0.5</v>
      </c>
      <c r="AD3" s="2" t="s">
        <v>4</v>
      </c>
    </row>
    <row r="4" spans="1:30" x14ac:dyDescent="0.25">
      <c r="A4" t="s">
        <v>13</v>
      </c>
      <c r="C4" s="9">
        <v>31</v>
      </c>
      <c r="D4" s="10">
        <f t="shared" si="0"/>
        <v>0.83914982556675421</v>
      </c>
      <c r="E4" s="9">
        <f t="shared" si="1"/>
        <v>30.702568864128754</v>
      </c>
      <c r="F4" s="11">
        <f t="shared" si="2"/>
        <v>0.46221145157315369</v>
      </c>
      <c r="G4" s="9">
        <v>1</v>
      </c>
      <c r="R4" s="2"/>
      <c r="S4" s="2" t="s">
        <v>8</v>
      </c>
      <c r="T4" s="4">
        <f t="shared" si="3"/>
        <v>0.83914982556675421</v>
      </c>
      <c r="U4" s="2" t="s">
        <v>3</v>
      </c>
      <c r="V4" s="2" t="s">
        <v>9</v>
      </c>
      <c r="W4" s="3">
        <f t="shared" si="4"/>
        <v>1</v>
      </c>
      <c r="X4" s="2" t="s">
        <v>4</v>
      </c>
      <c r="Y4" s="2" t="s">
        <v>8</v>
      </c>
      <c r="Z4" s="4">
        <f t="shared" si="5"/>
        <v>0.46221145157315369</v>
      </c>
      <c r="AA4" s="2" t="s">
        <v>3</v>
      </c>
      <c r="AB4" s="2" t="s">
        <v>9</v>
      </c>
      <c r="AC4" s="3">
        <f t="shared" si="6"/>
        <v>1</v>
      </c>
      <c r="AD4" s="2" t="s">
        <v>4</v>
      </c>
    </row>
    <row r="5" spans="1:30" x14ac:dyDescent="0.25">
      <c r="A5" t="s">
        <v>11</v>
      </c>
      <c r="B5" t="s">
        <v>14</v>
      </c>
      <c r="C5" s="9">
        <v>42</v>
      </c>
      <c r="D5" s="10">
        <f t="shared" si="0"/>
        <v>1.0428179861273608</v>
      </c>
      <c r="E5" s="9">
        <f t="shared" si="1"/>
        <v>41.455891425046268</v>
      </c>
      <c r="F5" s="11">
        <f t="shared" si="2"/>
        <v>0.58253094910591452</v>
      </c>
      <c r="G5" s="9">
        <v>1.5</v>
      </c>
      <c r="R5" s="2"/>
      <c r="S5" s="2" t="s">
        <v>8</v>
      </c>
      <c r="T5" s="4">
        <f t="shared" si="3"/>
        <v>1.0428179861273608</v>
      </c>
      <c r="U5" s="2" t="s">
        <v>3</v>
      </c>
      <c r="V5" s="2" t="s">
        <v>9</v>
      </c>
      <c r="W5" s="3">
        <f t="shared" si="4"/>
        <v>1.5</v>
      </c>
      <c r="X5" s="2" t="s">
        <v>4</v>
      </c>
      <c r="Y5" s="2" t="s">
        <v>8</v>
      </c>
      <c r="Z5" s="4">
        <f t="shared" si="5"/>
        <v>0.58253094910591452</v>
      </c>
      <c r="AA5" s="2" t="s">
        <v>3</v>
      </c>
      <c r="AB5" s="2" t="s">
        <v>9</v>
      </c>
      <c r="AC5" s="3">
        <f t="shared" si="6"/>
        <v>1.5</v>
      </c>
      <c r="AD5" s="2" t="s">
        <v>4</v>
      </c>
    </row>
    <row r="6" spans="1:30" x14ac:dyDescent="0.25">
      <c r="A6">
        <v>2200</v>
      </c>
      <c r="B6">
        <v>120</v>
      </c>
      <c r="C6" s="9">
        <v>52</v>
      </c>
      <c r="D6" s="10">
        <f t="shared" si="0"/>
        <v>1.2007632823941932</v>
      </c>
      <c r="E6" s="9">
        <f t="shared" si="1"/>
        <v>51.168511685116854</v>
      </c>
      <c r="F6" s="11">
        <f t="shared" si="2"/>
        <v>0.67821212992239144</v>
      </c>
      <c r="G6" s="9">
        <v>2</v>
      </c>
      <c r="R6" s="2"/>
      <c r="S6" s="2" t="s">
        <v>8</v>
      </c>
      <c r="T6" s="4">
        <f t="shared" si="3"/>
        <v>1.2007632823941932</v>
      </c>
      <c r="U6" s="2" t="s">
        <v>3</v>
      </c>
      <c r="V6" s="2" t="s">
        <v>9</v>
      </c>
      <c r="W6" s="3">
        <f t="shared" si="4"/>
        <v>2</v>
      </c>
      <c r="X6" s="2" t="s">
        <v>4</v>
      </c>
      <c r="Y6" s="2" t="s">
        <v>8</v>
      </c>
      <c r="Z6" s="4">
        <f t="shared" si="5"/>
        <v>0.67821212992239144</v>
      </c>
      <c r="AA6" s="2" t="s">
        <v>3</v>
      </c>
      <c r="AB6" s="2" t="s">
        <v>9</v>
      </c>
      <c r="AC6" s="3">
        <f t="shared" si="6"/>
        <v>2</v>
      </c>
      <c r="AD6" s="2" t="s">
        <v>4</v>
      </c>
    </row>
    <row r="7" spans="1:30" x14ac:dyDescent="0.25">
      <c r="A7">
        <v>1000</v>
      </c>
      <c r="C7" s="9">
        <v>71</v>
      </c>
      <c r="D7" s="10">
        <f t="shared" si="0"/>
        <v>1.4471082848338974</v>
      </c>
      <c r="E7" s="9">
        <f t="shared" si="1"/>
        <v>69.458881076123504</v>
      </c>
      <c r="F7" s="11">
        <f t="shared" si="2"/>
        <v>0.83176273155618663</v>
      </c>
      <c r="G7" s="9">
        <v>3</v>
      </c>
      <c r="R7" s="2"/>
      <c r="S7" s="2" t="s">
        <v>8</v>
      </c>
      <c r="T7" s="4">
        <f t="shared" si="3"/>
        <v>1.4471082848338974</v>
      </c>
      <c r="U7" s="2" t="s">
        <v>3</v>
      </c>
      <c r="V7" s="2" t="s">
        <v>9</v>
      </c>
      <c r="W7" s="3">
        <f t="shared" si="4"/>
        <v>3</v>
      </c>
      <c r="X7" s="2" t="s">
        <v>4</v>
      </c>
      <c r="Y7" s="2" t="s">
        <v>8</v>
      </c>
      <c r="Z7" s="4">
        <f t="shared" si="5"/>
        <v>0.83176273155618663</v>
      </c>
      <c r="AA7" s="2" t="s">
        <v>3</v>
      </c>
      <c r="AB7" s="2" t="s">
        <v>9</v>
      </c>
      <c r="AC7" s="3">
        <f t="shared" si="6"/>
        <v>3</v>
      </c>
      <c r="AD7" s="2" t="s">
        <v>4</v>
      </c>
    </row>
    <row r="8" spans="1:30" x14ac:dyDescent="0.25">
      <c r="C8" s="9">
        <v>90</v>
      </c>
      <c r="D8" s="10">
        <f>($B$2*C8)/($A$2+C8)</f>
        <v>1.6417084602156553</v>
      </c>
      <c r="E8" s="9">
        <f t="shared" si="1"/>
        <v>87.537993920972639</v>
      </c>
      <c r="F8" s="11">
        <f t="shared" si="2"/>
        <v>0.9569420035149383</v>
      </c>
      <c r="G8" s="9">
        <v>4</v>
      </c>
      <c r="R8" s="2"/>
      <c r="S8" s="2" t="s">
        <v>8</v>
      </c>
      <c r="T8" s="4">
        <f t="shared" si="3"/>
        <v>1.6417084602156553</v>
      </c>
      <c r="U8" s="2" t="s">
        <v>3</v>
      </c>
      <c r="V8" s="2" t="s">
        <v>9</v>
      </c>
      <c r="W8" s="3">
        <f t="shared" si="4"/>
        <v>4</v>
      </c>
      <c r="X8" s="2" t="s">
        <v>4</v>
      </c>
      <c r="Y8" s="2" t="s">
        <v>8</v>
      </c>
      <c r="Z8" s="4">
        <f t="shared" si="5"/>
        <v>0.9569420035149383</v>
      </c>
      <c r="AA8" s="2" t="s">
        <v>3</v>
      </c>
      <c r="AB8" s="2" t="s">
        <v>9</v>
      </c>
      <c r="AC8" s="3">
        <f t="shared" si="6"/>
        <v>4</v>
      </c>
      <c r="AD8" s="2" t="s">
        <v>4</v>
      </c>
    </row>
    <row r="9" spans="1:30" x14ac:dyDescent="0.25">
      <c r="C9" s="9">
        <v>107</v>
      </c>
      <c r="D9" s="10">
        <f t="shared" si="0"/>
        <v>1.784152421490472</v>
      </c>
      <c r="E9" s="9">
        <f t="shared" si="1"/>
        <v>103.53794980344723</v>
      </c>
      <c r="F9" s="11">
        <f t="shared" si="2"/>
        <v>1.0508359937232834</v>
      </c>
      <c r="G9" s="9">
        <v>5</v>
      </c>
      <c r="R9" s="2"/>
      <c r="S9" s="2" t="s">
        <v>8</v>
      </c>
      <c r="T9" s="4">
        <f t="shared" si="3"/>
        <v>1.784152421490472</v>
      </c>
      <c r="U9" s="2" t="s">
        <v>3</v>
      </c>
      <c r="V9" s="2" t="s">
        <v>9</v>
      </c>
      <c r="W9" s="3">
        <f t="shared" si="4"/>
        <v>5</v>
      </c>
      <c r="X9" s="2" t="s">
        <v>4</v>
      </c>
      <c r="Y9" s="2" t="s">
        <v>8</v>
      </c>
      <c r="Z9" s="4">
        <f t="shared" si="5"/>
        <v>1.0508359937232834</v>
      </c>
      <c r="AA9" s="2" t="s">
        <v>3</v>
      </c>
      <c r="AB9" s="2" t="s">
        <v>9</v>
      </c>
      <c r="AC9" s="3">
        <f t="shared" si="6"/>
        <v>5</v>
      </c>
      <c r="AD9" s="2" t="s">
        <v>4</v>
      </c>
    </row>
    <row r="10" spans="1:30" x14ac:dyDescent="0.25">
      <c r="C10" s="9">
        <v>124</v>
      </c>
      <c r="D10" s="10">
        <f t="shared" si="0"/>
        <v>1.9040608331615552</v>
      </c>
      <c r="E10" s="9">
        <f t="shared" si="1"/>
        <v>119.37424789410349</v>
      </c>
      <c r="F10" s="11">
        <f t="shared" si="2"/>
        <v>1.1314096119042831</v>
      </c>
      <c r="G10" s="9">
        <v>6</v>
      </c>
      <c r="R10" s="2"/>
      <c r="S10" s="2" t="s">
        <v>8</v>
      </c>
      <c r="T10" s="4">
        <f t="shared" si="3"/>
        <v>1.9040608331615552</v>
      </c>
      <c r="U10" s="2" t="s">
        <v>3</v>
      </c>
      <c r="V10" s="2" t="s">
        <v>9</v>
      </c>
      <c r="W10" s="3">
        <f t="shared" si="4"/>
        <v>6</v>
      </c>
      <c r="X10" s="2" t="s">
        <v>4</v>
      </c>
      <c r="Y10" s="2" t="s">
        <v>8</v>
      </c>
      <c r="Z10" s="4">
        <f t="shared" si="5"/>
        <v>1.1314096119042831</v>
      </c>
      <c r="AA10" s="2" t="s">
        <v>3</v>
      </c>
      <c r="AB10" s="2" t="s">
        <v>9</v>
      </c>
      <c r="AC10" s="3">
        <f t="shared" si="6"/>
        <v>6</v>
      </c>
      <c r="AD10" s="2" t="s">
        <v>4</v>
      </c>
    </row>
    <row r="11" spans="1:30" x14ac:dyDescent="0.25">
      <c r="C11" s="9">
        <v>140</v>
      </c>
      <c r="D11" s="10">
        <f t="shared" si="0"/>
        <v>2.0007873228036486</v>
      </c>
      <c r="E11" s="9">
        <f t="shared" si="1"/>
        <v>134.1317365269461</v>
      </c>
      <c r="F11" s="11">
        <f t="shared" si="2"/>
        <v>1.1974552309142317</v>
      </c>
      <c r="G11" s="9">
        <v>7</v>
      </c>
      <c r="R11" s="2"/>
      <c r="S11" s="2" t="s">
        <v>8</v>
      </c>
      <c r="T11" s="4">
        <f t="shared" si="3"/>
        <v>2.0007873228036486</v>
      </c>
      <c r="U11" s="2" t="s">
        <v>3</v>
      </c>
      <c r="V11" s="2" t="s">
        <v>9</v>
      </c>
      <c r="W11" s="3">
        <f t="shared" si="4"/>
        <v>7</v>
      </c>
      <c r="X11" s="2" t="s">
        <v>4</v>
      </c>
      <c r="Y11" s="2" t="s">
        <v>8</v>
      </c>
      <c r="Z11" s="4">
        <f t="shared" si="5"/>
        <v>1.1974552309142317</v>
      </c>
      <c r="AA11" s="2" t="s">
        <v>3</v>
      </c>
      <c r="AB11" s="2" t="s">
        <v>9</v>
      </c>
      <c r="AC11" s="3">
        <f t="shared" si="6"/>
        <v>7</v>
      </c>
      <c r="AD11" s="2" t="s">
        <v>4</v>
      </c>
    </row>
    <row r="12" spans="1:30" x14ac:dyDescent="0.25">
      <c r="C12" s="9">
        <v>156</v>
      </c>
      <c r="D12" s="10">
        <f t="shared" si="0"/>
        <v>2.0849778319227603</v>
      </c>
      <c r="E12" s="9">
        <f t="shared" si="1"/>
        <v>148.74851013110847</v>
      </c>
      <c r="F12" s="11">
        <f t="shared" si="2"/>
        <v>1.2557211282597127</v>
      </c>
      <c r="G12" s="9">
        <v>8</v>
      </c>
      <c r="R12" s="2"/>
      <c r="S12" s="2" t="s">
        <v>8</v>
      </c>
      <c r="T12" s="4">
        <f t="shared" si="3"/>
        <v>2.0849778319227603</v>
      </c>
      <c r="U12" s="2" t="s">
        <v>3</v>
      </c>
      <c r="V12" s="2" t="s">
        <v>9</v>
      </c>
      <c r="W12" s="3">
        <f t="shared" si="4"/>
        <v>8</v>
      </c>
      <c r="X12" s="2" t="s">
        <v>4</v>
      </c>
      <c r="Y12" s="2" t="s">
        <v>8</v>
      </c>
      <c r="Z12" s="4">
        <f t="shared" si="5"/>
        <v>1.2557211282597127</v>
      </c>
      <c r="AA12" s="2" t="s">
        <v>3</v>
      </c>
      <c r="AB12" s="2" t="s">
        <v>9</v>
      </c>
      <c r="AC12" s="3">
        <f t="shared" si="6"/>
        <v>8</v>
      </c>
      <c r="AD12" s="2" t="s">
        <v>4</v>
      </c>
    </row>
    <row r="13" spans="1:30" x14ac:dyDescent="0.25">
      <c r="C13" s="9">
        <v>163</v>
      </c>
      <c r="D13" s="10">
        <f t="shared" si="0"/>
        <v>2.1184746824749485</v>
      </c>
      <c r="E13" s="9">
        <f t="shared" si="1"/>
        <v>155.09961344038061</v>
      </c>
      <c r="F13" s="11">
        <f t="shared" si="2"/>
        <v>1.2791084785334428</v>
      </c>
      <c r="G13" s="9">
        <v>8.5</v>
      </c>
      <c r="R13" s="2"/>
      <c r="S13" s="2" t="s">
        <v>8</v>
      </c>
      <c r="T13" s="4">
        <f t="shared" si="3"/>
        <v>2.1184746824749485</v>
      </c>
      <c r="U13" s="2" t="s">
        <v>3</v>
      </c>
      <c r="V13" s="2" t="s">
        <v>9</v>
      </c>
      <c r="W13" s="3">
        <f t="shared" si="4"/>
        <v>8.5</v>
      </c>
      <c r="X13" s="2" t="s">
        <v>4</v>
      </c>
      <c r="Y13" s="2" t="s">
        <v>8</v>
      </c>
      <c r="Z13" s="4">
        <f t="shared" si="5"/>
        <v>1.2791084785334428</v>
      </c>
      <c r="AA13" s="2" t="s">
        <v>3</v>
      </c>
      <c r="AB13" s="2" t="s">
        <v>9</v>
      </c>
      <c r="AC13" s="3">
        <f t="shared" si="6"/>
        <v>8.5</v>
      </c>
      <c r="AD13" s="2" t="s">
        <v>4</v>
      </c>
    </row>
    <row r="14" spans="1:30" x14ac:dyDescent="0.25">
      <c r="C14" s="9">
        <v>170</v>
      </c>
      <c r="D14" s="10">
        <f t="shared" si="0"/>
        <v>2.150174141108915</v>
      </c>
      <c r="E14" s="9">
        <f t="shared" si="1"/>
        <v>161.42433234421364</v>
      </c>
      <c r="F14" s="11">
        <f t="shared" si="2"/>
        <v>1.301349641501476</v>
      </c>
      <c r="G14" s="9">
        <v>9</v>
      </c>
      <c r="R14" s="2"/>
      <c r="S14" s="2" t="s">
        <v>8</v>
      </c>
      <c r="T14" s="4">
        <f t="shared" si="3"/>
        <v>2.150174141108915</v>
      </c>
      <c r="U14" s="2" t="s">
        <v>3</v>
      </c>
      <c r="V14" s="2" t="s">
        <v>9</v>
      </c>
      <c r="W14" s="3">
        <f t="shared" si="4"/>
        <v>9</v>
      </c>
      <c r="X14" s="2" t="s">
        <v>4</v>
      </c>
      <c r="Y14" s="2" t="s">
        <v>8</v>
      </c>
      <c r="Z14" s="4">
        <f t="shared" si="5"/>
        <v>1.301349641501476</v>
      </c>
      <c r="AA14" s="2" t="s">
        <v>3</v>
      </c>
      <c r="AB14" s="2" t="s">
        <v>9</v>
      </c>
      <c r="AC14" s="3">
        <f t="shared" si="6"/>
        <v>9</v>
      </c>
      <c r="AD14" s="2" t="s">
        <v>4</v>
      </c>
    </row>
    <row r="15" spans="1:30" x14ac:dyDescent="0.25">
      <c r="C15" s="9">
        <v>184</v>
      </c>
      <c r="D15" s="10">
        <f t="shared" si="0"/>
        <v>2.2087300856901426</v>
      </c>
      <c r="E15" s="9">
        <f t="shared" si="1"/>
        <v>173.9952718676123</v>
      </c>
      <c r="F15" s="11">
        <f t="shared" si="2"/>
        <v>1.3427146992602124</v>
      </c>
      <c r="G15" s="9">
        <v>10</v>
      </c>
      <c r="R15" s="2"/>
      <c r="S15" s="2" t="s">
        <v>8</v>
      </c>
      <c r="T15" s="4">
        <f t="shared" si="3"/>
        <v>2.2087300856901426</v>
      </c>
      <c r="U15" s="2" t="s">
        <v>3</v>
      </c>
      <c r="V15" s="2" t="s">
        <v>9</v>
      </c>
      <c r="W15" s="3">
        <f t="shared" si="4"/>
        <v>10</v>
      </c>
      <c r="X15" s="2" t="s">
        <v>4</v>
      </c>
      <c r="Y15" s="2" t="s">
        <v>8</v>
      </c>
      <c r="Z15" s="4">
        <f t="shared" si="5"/>
        <v>1.3427146992602124</v>
      </c>
      <c r="AA15" s="2" t="s">
        <v>3</v>
      </c>
      <c r="AB15" s="2" t="s">
        <v>9</v>
      </c>
      <c r="AC15" s="3">
        <f t="shared" si="6"/>
        <v>10</v>
      </c>
      <c r="AD15" s="2" t="s">
        <v>4</v>
      </c>
    </row>
    <row r="16" spans="1:30" x14ac:dyDescent="0.25">
      <c r="D16" s="10"/>
      <c r="F16" s="11"/>
      <c r="R16" s="2"/>
      <c r="S16" s="2" t="s">
        <v>8</v>
      </c>
      <c r="T16" s="4">
        <f t="shared" si="3"/>
        <v>0</v>
      </c>
      <c r="U16" s="2" t="s">
        <v>3</v>
      </c>
      <c r="V16" s="2" t="s">
        <v>9</v>
      </c>
      <c r="W16" s="3">
        <f t="shared" si="4"/>
        <v>0</v>
      </c>
      <c r="X16" s="2" t="s">
        <v>4</v>
      </c>
      <c r="Y16" s="2" t="s">
        <v>8</v>
      </c>
      <c r="Z16" s="4">
        <f t="shared" si="5"/>
        <v>0</v>
      </c>
      <c r="AA16" s="2" t="s">
        <v>3</v>
      </c>
      <c r="AB16" s="2" t="s">
        <v>9</v>
      </c>
      <c r="AC16" s="3">
        <f t="shared" si="6"/>
        <v>0</v>
      </c>
      <c r="AD16" s="2" t="s">
        <v>4</v>
      </c>
    </row>
    <row r="17" spans="1:30" x14ac:dyDescent="0.25">
      <c r="D17" s="10"/>
      <c r="F17" s="11"/>
      <c r="R17" s="2"/>
      <c r="S17" s="2" t="s">
        <v>8</v>
      </c>
      <c r="T17" s="4">
        <f t="shared" si="3"/>
        <v>0</v>
      </c>
      <c r="U17" s="2" t="s">
        <v>3</v>
      </c>
      <c r="V17" s="2" t="s">
        <v>9</v>
      </c>
      <c r="W17" s="3">
        <f t="shared" si="4"/>
        <v>0</v>
      </c>
      <c r="X17" s="2" t="s">
        <v>4</v>
      </c>
      <c r="Y17" s="2" t="s">
        <v>8</v>
      </c>
      <c r="Z17" s="4">
        <f t="shared" si="5"/>
        <v>0</v>
      </c>
      <c r="AA17" s="2" t="s">
        <v>3</v>
      </c>
      <c r="AB17" s="2" t="s">
        <v>9</v>
      </c>
      <c r="AC17" s="3">
        <f t="shared" si="6"/>
        <v>0</v>
      </c>
      <c r="AD17" s="2" t="s">
        <v>4</v>
      </c>
    </row>
    <row r="18" spans="1:30" x14ac:dyDescent="0.25">
      <c r="D18" s="10"/>
      <c r="F18" s="11"/>
      <c r="R18" s="2"/>
      <c r="S18" s="2" t="s">
        <v>8</v>
      </c>
      <c r="T18" s="4">
        <f t="shared" si="3"/>
        <v>0</v>
      </c>
      <c r="U18" s="2" t="s">
        <v>3</v>
      </c>
      <c r="V18" s="2" t="s">
        <v>9</v>
      </c>
      <c r="W18" s="3">
        <f t="shared" si="4"/>
        <v>0</v>
      </c>
      <c r="X18" s="2" t="s">
        <v>4</v>
      </c>
      <c r="Y18" s="2" t="s">
        <v>8</v>
      </c>
      <c r="Z18" s="4">
        <f t="shared" si="5"/>
        <v>0</v>
      </c>
      <c r="AA18" s="2" t="s">
        <v>3</v>
      </c>
      <c r="AB18" s="2" t="s">
        <v>9</v>
      </c>
      <c r="AC18" s="3">
        <f t="shared" si="6"/>
        <v>0</v>
      </c>
      <c r="AD18" s="2" t="s">
        <v>4</v>
      </c>
    </row>
    <row r="19" spans="1:30" x14ac:dyDescent="0.25">
      <c r="D19" s="10"/>
      <c r="F19" s="11"/>
      <c r="R19" s="2"/>
      <c r="S19" s="2" t="s">
        <v>8</v>
      </c>
      <c r="T19" s="4">
        <f t="shared" si="3"/>
        <v>0</v>
      </c>
      <c r="U19" s="2" t="s">
        <v>3</v>
      </c>
      <c r="V19" s="2" t="s">
        <v>9</v>
      </c>
      <c r="W19" s="3">
        <f t="shared" si="4"/>
        <v>0</v>
      </c>
      <c r="X19" s="2" t="s">
        <v>4</v>
      </c>
      <c r="Y19" s="2" t="s">
        <v>8</v>
      </c>
      <c r="Z19" s="4">
        <f t="shared" si="5"/>
        <v>0</v>
      </c>
      <c r="AA19" s="2" t="s">
        <v>3</v>
      </c>
      <c r="AB19" s="2" t="s">
        <v>9</v>
      </c>
      <c r="AC19" s="3">
        <f t="shared" si="6"/>
        <v>0</v>
      </c>
      <c r="AD19" s="2" t="s">
        <v>4</v>
      </c>
    </row>
    <row r="20" spans="1:30" x14ac:dyDescent="0.25">
      <c r="D20" s="10"/>
      <c r="F20" s="11"/>
      <c r="R20" s="2"/>
      <c r="S20" s="2" t="s">
        <v>8</v>
      </c>
      <c r="T20" s="4">
        <f t="shared" si="3"/>
        <v>0</v>
      </c>
      <c r="U20" s="2" t="s">
        <v>3</v>
      </c>
      <c r="V20" s="2" t="s">
        <v>9</v>
      </c>
      <c r="W20" s="3">
        <f t="shared" si="4"/>
        <v>0</v>
      </c>
      <c r="X20" s="2" t="s">
        <v>4</v>
      </c>
      <c r="Y20" s="2" t="s">
        <v>8</v>
      </c>
      <c r="Z20" s="4">
        <f t="shared" si="5"/>
        <v>0</v>
      </c>
      <c r="AA20" s="2" t="s">
        <v>3</v>
      </c>
      <c r="AB20" s="2" t="s">
        <v>9</v>
      </c>
      <c r="AC20" s="3">
        <f t="shared" si="6"/>
        <v>0</v>
      </c>
      <c r="AD20" s="2" t="s">
        <v>4</v>
      </c>
    </row>
    <row r="21" spans="1:30" x14ac:dyDescent="0.25">
      <c r="D21" s="10"/>
      <c r="F21" s="11"/>
      <c r="R21" s="2"/>
      <c r="S21" s="2" t="s">
        <v>8</v>
      </c>
      <c r="T21" s="4">
        <f t="shared" si="3"/>
        <v>0</v>
      </c>
      <c r="U21" s="2" t="s">
        <v>3</v>
      </c>
      <c r="V21" s="2" t="s">
        <v>9</v>
      </c>
      <c r="W21" s="3">
        <f t="shared" si="4"/>
        <v>0</v>
      </c>
      <c r="X21" s="2" t="s">
        <v>4</v>
      </c>
      <c r="Y21" s="2" t="s">
        <v>8</v>
      </c>
      <c r="Z21" s="4">
        <f t="shared" si="5"/>
        <v>0</v>
      </c>
      <c r="AA21" s="2" t="s">
        <v>3</v>
      </c>
      <c r="AB21" s="2" t="s">
        <v>9</v>
      </c>
      <c r="AC21" s="3">
        <f t="shared" si="6"/>
        <v>0</v>
      </c>
      <c r="AD21" s="2" t="s">
        <v>4</v>
      </c>
    </row>
    <row r="22" spans="1:30" x14ac:dyDescent="0.25">
      <c r="D22" s="10"/>
      <c r="F22" s="11"/>
      <c r="R22" s="2"/>
      <c r="S22" s="2" t="s">
        <v>8</v>
      </c>
      <c r="T22" s="4">
        <f t="shared" si="3"/>
        <v>0</v>
      </c>
      <c r="U22" s="2" t="s">
        <v>3</v>
      </c>
      <c r="V22" s="2" t="s">
        <v>9</v>
      </c>
      <c r="W22" s="3">
        <f t="shared" si="4"/>
        <v>0</v>
      </c>
      <c r="X22" s="2" t="s">
        <v>4</v>
      </c>
      <c r="Y22" s="2" t="s">
        <v>8</v>
      </c>
      <c r="Z22" s="4">
        <f t="shared" si="5"/>
        <v>0</v>
      </c>
      <c r="AA22" s="2" t="s">
        <v>3</v>
      </c>
      <c r="AB22" s="2" t="s">
        <v>9</v>
      </c>
      <c r="AC22" s="3">
        <f t="shared" si="6"/>
        <v>0</v>
      </c>
      <c r="AD22" s="2" t="s">
        <v>4</v>
      </c>
    </row>
    <row r="23" spans="1:30" x14ac:dyDescent="0.25">
      <c r="D23" s="10"/>
      <c r="F23" s="11"/>
      <c r="R23" s="2"/>
      <c r="S23" s="2" t="s">
        <v>8</v>
      </c>
      <c r="T23" s="4">
        <f t="shared" si="3"/>
        <v>0</v>
      </c>
      <c r="U23" s="2" t="s">
        <v>3</v>
      </c>
      <c r="V23" s="2" t="s">
        <v>9</v>
      </c>
      <c r="W23" s="3">
        <f t="shared" si="4"/>
        <v>0</v>
      </c>
      <c r="X23" s="2" t="s">
        <v>4</v>
      </c>
      <c r="Y23" s="2" t="s">
        <v>8</v>
      </c>
      <c r="Z23" s="4">
        <f t="shared" si="5"/>
        <v>0</v>
      </c>
      <c r="AA23" s="2" t="s">
        <v>3</v>
      </c>
      <c r="AB23" s="2" t="s">
        <v>9</v>
      </c>
      <c r="AC23" s="3">
        <f t="shared" si="6"/>
        <v>0</v>
      </c>
      <c r="AD23" s="2" t="s">
        <v>4</v>
      </c>
    </row>
    <row r="24" spans="1:30" x14ac:dyDescent="0.25">
      <c r="D24" s="10"/>
      <c r="F24" s="11"/>
      <c r="R24" s="2"/>
      <c r="S24" s="2" t="s">
        <v>8</v>
      </c>
      <c r="T24" s="4">
        <f t="shared" si="3"/>
        <v>0</v>
      </c>
      <c r="U24" s="2" t="s">
        <v>3</v>
      </c>
      <c r="V24" s="2" t="s">
        <v>9</v>
      </c>
      <c r="W24" s="3">
        <f t="shared" si="4"/>
        <v>0</v>
      </c>
      <c r="X24" s="2" t="s">
        <v>4</v>
      </c>
      <c r="Y24" s="2" t="s">
        <v>8</v>
      </c>
      <c r="Z24" s="4">
        <f t="shared" si="5"/>
        <v>0</v>
      </c>
      <c r="AA24" s="2" t="s">
        <v>3</v>
      </c>
      <c r="AB24" s="2" t="s">
        <v>9</v>
      </c>
      <c r="AC24" s="3">
        <f t="shared" si="6"/>
        <v>0</v>
      </c>
      <c r="AD24" s="2" t="s">
        <v>4</v>
      </c>
    </row>
    <row r="25" spans="1:30" x14ac:dyDescent="0.25">
      <c r="D25" s="10"/>
      <c r="F25" s="11"/>
      <c r="R25" s="2"/>
      <c r="S25" s="2" t="s">
        <v>8</v>
      </c>
      <c r="T25" s="4">
        <f t="shared" si="3"/>
        <v>0</v>
      </c>
      <c r="U25" s="2" t="s">
        <v>3</v>
      </c>
      <c r="V25" s="2" t="s">
        <v>9</v>
      </c>
      <c r="W25" s="3">
        <f t="shared" si="4"/>
        <v>0</v>
      </c>
      <c r="X25" s="2" t="s">
        <v>4</v>
      </c>
      <c r="Y25" s="2" t="s">
        <v>8</v>
      </c>
      <c r="Z25" s="4">
        <f t="shared" si="5"/>
        <v>0</v>
      </c>
      <c r="AA25" s="2" t="s">
        <v>3</v>
      </c>
      <c r="AB25" s="2" t="s">
        <v>9</v>
      </c>
      <c r="AC25" s="3">
        <f t="shared" si="6"/>
        <v>0</v>
      </c>
      <c r="AD25" s="2" t="s">
        <v>4</v>
      </c>
    </row>
    <row r="26" spans="1:30" x14ac:dyDescent="0.25">
      <c r="D26" s="10"/>
      <c r="F26" s="11"/>
      <c r="R26" s="2"/>
      <c r="S26" s="2" t="s">
        <v>8</v>
      </c>
      <c r="T26" s="4">
        <f t="shared" si="3"/>
        <v>0</v>
      </c>
      <c r="U26" s="2" t="s">
        <v>3</v>
      </c>
      <c r="V26" s="2" t="s">
        <v>9</v>
      </c>
      <c r="W26" s="3">
        <f t="shared" si="4"/>
        <v>0</v>
      </c>
      <c r="X26" s="2" t="s">
        <v>4</v>
      </c>
      <c r="Y26" s="2" t="s">
        <v>8</v>
      </c>
      <c r="Z26" s="4">
        <f t="shared" si="5"/>
        <v>0</v>
      </c>
      <c r="AA26" s="2" t="s">
        <v>3</v>
      </c>
      <c r="AB26" s="2" t="s">
        <v>9</v>
      </c>
      <c r="AC26" s="3">
        <f t="shared" si="6"/>
        <v>0</v>
      </c>
      <c r="AD26" s="2" t="s">
        <v>4</v>
      </c>
    </row>
    <row r="27" spans="1:30" x14ac:dyDescent="0.25">
      <c r="D27" s="10"/>
      <c r="F27" s="11"/>
      <c r="R27" s="2"/>
      <c r="S27" s="2" t="s">
        <v>8</v>
      </c>
      <c r="T27" s="4">
        <f t="shared" si="3"/>
        <v>0</v>
      </c>
      <c r="U27" s="2" t="s">
        <v>3</v>
      </c>
      <c r="V27" s="2" t="s">
        <v>9</v>
      </c>
      <c r="W27" s="3">
        <f t="shared" si="4"/>
        <v>0</v>
      </c>
      <c r="X27" s="2" t="s">
        <v>5</v>
      </c>
      <c r="Y27" s="2" t="s">
        <v>8</v>
      </c>
      <c r="Z27" s="4">
        <f t="shared" si="5"/>
        <v>0</v>
      </c>
      <c r="AA27" s="2" t="s">
        <v>3</v>
      </c>
      <c r="AB27" s="2" t="s">
        <v>9</v>
      </c>
      <c r="AC27" s="3">
        <f t="shared" si="6"/>
        <v>0</v>
      </c>
      <c r="AD27" s="2" t="s">
        <v>5</v>
      </c>
    </row>
    <row r="28" spans="1:30" x14ac:dyDescent="0.25">
      <c r="R28" s="2"/>
      <c r="S28" s="2" t="s">
        <v>7</v>
      </c>
      <c r="T28" s="4"/>
      <c r="U28" s="2"/>
      <c r="V28" s="2"/>
      <c r="W28" s="3"/>
      <c r="X28" s="2"/>
      <c r="Y28" s="2" t="s">
        <v>7</v>
      </c>
      <c r="Z28" s="4"/>
      <c r="AA28" s="2"/>
      <c r="AB28" s="2"/>
      <c r="AC28" s="3"/>
      <c r="AD28" s="2"/>
    </row>
    <row r="32" spans="1:30" x14ac:dyDescent="0.25">
      <c r="A32" t="s">
        <v>18</v>
      </c>
      <c r="L32" t="s">
        <v>25</v>
      </c>
    </row>
    <row r="33" spans="1:1" x14ac:dyDescent="0.25">
      <c r="A33" s="6" t="s">
        <v>26</v>
      </c>
    </row>
    <row r="54" spans="20:27" x14ac:dyDescent="0.25">
      <c r="T54"/>
      <c r="U54">
        <v>71.900000000000006</v>
      </c>
      <c r="Z54"/>
      <c r="AA54">
        <v>71.900000000000006</v>
      </c>
    </row>
  </sheetData>
  <hyperlinks>
    <hyperlink ref="A33" r:id="rId1" xr:uid="{794E1381-8862-4618-93DD-342EF9A68975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A11A-77BF-49D7-89C7-360306EC7745}">
  <dimension ref="A1:AD46"/>
  <sheetViews>
    <sheetView zoomScaleNormal="100" workbookViewId="0">
      <selection activeCell="G29" sqref="G29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3" max="13" width="9.14062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4.42578125" style="1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3"/>
      <c r="X1" s="2"/>
      <c r="Y1" s="2" t="s">
        <v>17</v>
      </c>
      <c r="Z1" s="4"/>
      <c r="AA1" s="2"/>
      <c r="AB1" s="2"/>
      <c r="AC1" s="3"/>
      <c r="AD1" s="2"/>
    </row>
    <row r="2" spans="1:30" x14ac:dyDescent="0.25">
      <c r="A2">
        <v>1000</v>
      </c>
      <c r="B2">
        <v>3.3</v>
      </c>
      <c r="C2" s="9">
        <v>71.900000000000006</v>
      </c>
      <c r="D2" s="10">
        <f t="shared" ref="D2:D20" si="0">($B$2*C2)/($A$2+C2)</f>
        <v>0.22135460397425133</v>
      </c>
      <c r="E2" s="9">
        <f>C2*($A$6+$A$7)/(C2+$A$6+$A$7)</f>
        <v>70.319997554937501</v>
      </c>
      <c r="F2" s="11">
        <f>(($B$2*E2)/($B$6+E2))*$A$6/($A$6+$A$7)</f>
        <v>0.27491469383262346</v>
      </c>
      <c r="G2" s="9">
        <v>140</v>
      </c>
      <c r="R2" s="2"/>
      <c r="S2" s="2" t="s">
        <v>8</v>
      </c>
      <c r="T2" s="4">
        <f>D2</f>
        <v>0.22135460397425133</v>
      </c>
      <c r="U2" s="2" t="s">
        <v>3</v>
      </c>
      <c r="V2" s="2" t="s">
        <v>9</v>
      </c>
      <c r="W2" s="3">
        <f>G2</f>
        <v>140</v>
      </c>
      <c r="X2" s="2" t="s">
        <v>4</v>
      </c>
      <c r="Y2" s="2" t="s">
        <v>8</v>
      </c>
      <c r="Z2" s="4">
        <f>F2</f>
        <v>0.27491469383262346</v>
      </c>
      <c r="AA2" s="2" t="s">
        <v>3</v>
      </c>
      <c r="AB2" s="2" t="s">
        <v>9</v>
      </c>
      <c r="AC2" s="3">
        <f>G2</f>
        <v>140</v>
      </c>
      <c r="AD2" s="2" t="s">
        <v>4</v>
      </c>
    </row>
    <row r="3" spans="1:30" x14ac:dyDescent="0.25">
      <c r="C3" s="9">
        <v>89.9</v>
      </c>
      <c r="D3" s="10">
        <f t="shared" si="0"/>
        <v>0.27219928433801266</v>
      </c>
      <c r="E3" s="9">
        <f t="shared" ref="E3:E20" si="1">C3*($A$6+$A$7)/(C3+$A$6+$A$7)</f>
        <v>87.443387337001127</v>
      </c>
      <c r="F3" s="11">
        <f>(($B$2*E3)/($B$6+E3))*$A$6/($A$6+$A$7)</f>
        <v>0.33206022399058982</v>
      </c>
      <c r="G3" s="9">
        <v>130</v>
      </c>
      <c r="R3" s="2"/>
      <c r="S3" s="2" t="s">
        <v>8</v>
      </c>
      <c r="T3" s="4">
        <f t="shared" ref="T3:T20" si="2">D3</f>
        <v>0.27219928433801266</v>
      </c>
      <c r="U3" s="2" t="s">
        <v>3</v>
      </c>
      <c r="V3" s="2" t="s">
        <v>9</v>
      </c>
      <c r="W3" s="3">
        <f t="shared" ref="W3:W20" si="3">G3</f>
        <v>130</v>
      </c>
      <c r="X3" s="2" t="s">
        <v>4</v>
      </c>
      <c r="Y3" s="2" t="s">
        <v>8</v>
      </c>
      <c r="Z3" s="4">
        <f t="shared" ref="Z3:Z20" si="4">F3</f>
        <v>0.33206022399058982</v>
      </c>
      <c r="AA3" s="2" t="s">
        <v>3</v>
      </c>
      <c r="AB3" s="2" t="s">
        <v>9</v>
      </c>
      <c r="AC3" s="3">
        <f t="shared" ref="AC3:AC20" si="5">G3</f>
        <v>130</v>
      </c>
      <c r="AD3" s="2" t="s">
        <v>4</v>
      </c>
    </row>
    <row r="4" spans="1:30" x14ac:dyDescent="0.25">
      <c r="A4" t="s">
        <v>13</v>
      </c>
      <c r="C4" s="9">
        <v>113.3</v>
      </c>
      <c r="D4" s="10">
        <f t="shared" si="0"/>
        <v>0.33583939638911342</v>
      </c>
      <c r="E4" s="9">
        <f t="shared" si="1"/>
        <v>109.42564814535356</v>
      </c>
      <c r="F4" s="11">
        <f>(($B$2*E4)/($B$6+E4))*$A$6/($A$6+$A$7)</f>
        <v>0.4007897315409753</v>
      </c>
      <c r="G4" s="9">
        <v>120</v>
      </c>
      <c r="R4" s="2"/>
      <c r="S4" s="2" t="s">
        <v>8</v>
      </c>
      <c r="T4" s="4">
        <f t="shared" si="2"/>
        <v>0.33583939638911342</v>
      </c>
      <c r="U4" s="2" t="s">
        <v>3</v>
      </c>
      <c r="V4" s="2" t="s">
        <v>9</v>
      </c>
      <c r="W4" s="3">
        <f t="shared" si="3"/>
        <v>120</v>
      </c>
      <c r="X4" s="2" t="s">
        <v>4</v>
      </c>
      <c r="Y4" s="2" t="s">
        <v>8</v>
      </c>
      <c r="Z4" s="4">
        <f t="shared" si="4"/>
        <v>0.4007897315409753</v>
      </c>
      <c r="AA4" s="2" t="s">
        <v>3</v>
      </c>
      <c r="AB4" s="2" t="s">
        <v>9</v>
      </c>
      <c r="AC4" s="3">
        <f t="shared" si="5"/>
        <v>120</v>
      </c>
      <c r="AD4" s="2" t="s">
        <v>4</v>
      </c>
    </row>
    <row r="5" spans="1:30" x14ac:dyDescent="0.25">
      <c r="A5" t="s">
        <v>11</v>
      </c>
      <c r="B5" t="s">
        <v>14</v>
      </c>
      <c r="C5" s="9">
        <v>144.5</v>
      </c>
      <c r="D5" s="10">
        <f t="shared" si="0"/>
        <v>0.41664482306684136</v>
      </c>
      <c r="E5" s="9">
        <f t="shared" si="1"/>
        <v>138.25683958738227</v>
      </c>
      <c r="F5" s="11">
        <f>(($B$2*E5)/($B$6+E5))*$A$6/($A$6+$A$7)</f>
        <v>0.48386717371701882</v>
      </c>
      <c r="G5" s="9">
        <v>110</v>
      </c>
      <c r="R5" s="2"/>
      <c r="S5" s="2" t="s">
        <v>8</v>
      </c>
      <c r="T5" s="4">
        <f t="shared" si="2"/>
        <v>0.41664482306684136</v>
      </c>
      <c r="U5" s="2" t="s">
        <v>3</v>
      </c>
      <c r="V5" s="2" t="s">
        <v>9</v>
      </c>
      <c r="W5" s="3">
        <f t="shared" si="3"/>
        <v>110</v>
      </c>
      <c r="X5" s="2" t="s">
        <v>4</v>
      </c>
      <c r="Y5" s="2" t="s">
        <v>8</v>
      </c>
      <c r="Z5" s="4">
        <f t="shared" si="4"/>
        <v>0.48386717371701882</v>
      </c>
      <c r="AA5" s="2" t="s">
        <v>3</v>
      </c>
      <c r="AB5" s="2" t="s">
        <v>9</v>
      </c>
      <c r="AC5" s="3">
        <f t="shared" si="5"/>
        <v>110</v>
      </c>
      <c r="AD5" s="2" t="s">
        <v>4</v>
      </c>
    </row>
    <row r="6" spans="1:30" x14ac:dyDescent="0.25">
      <c r="A6">
        <v>2200</v>
      </c>
      <c r="B6">
        <v>510</v>
      </c>
      <c r="C6" s="9">
        <v>186.6</v>
      </c>
      <c r="D6" s="10">
        <f>($B$2*C6)/($A$2+C6)</f>
        <v>0.5189448845440755</v>
      </c>
      <c r="E6" s="9">
        <f t="shared" si="1"/>
        <v>176.31843146518634</v>
      </c>
      <c r="F6" s="11">
        <f t="shared" ref="F6:F20" si="6">(($B$2*E6)/($B$6+E6))*$A$6/($A$6+$A$7)</f>
        <v>0.58285254052212165</v>
      </c>
      <c r="G6" s="9">
        <v>100</v>
      </c>
      <c r="R6" s="2"/>
      <c r="S6" s="2" t="s">
        <v>8</v>
      </c>
      <c r="T6" s="4">
        <f t="shared" si="2"/>
        <v>0.5189448845440755</v>
      </c>
      <c r="U6" s="2" t="s">
        <v>3</v>
      </c>
      <c r="V6" s="2" t="s">
        <v>9</v>
      </c>
      <c r="W6" s="3">
        <f t="shared" si="3"/>
        <v>100</v>
      </c>
      <c r="X6" s="2" t="s">
        <v>4</v>
      </c>
      <c r="Y6" s="2" t="s">
        <v>8</v>
      </c>
      <c r="Z6" s="4">
        <f t="shared" si="4"/>
        <v>0.58285254052212165</v>
      </c>
      <c r="AA6" s="2" t="s">
        <v>3</v>
      </c>
      <c r="AB6" s="2" t="s">
        <v>9</v>
      </c>
      <c r="AC6" s="3">
        <f t="shared" si="5"/>
        <v>100</v>
      </c>
      <c r="AD6" s="2" t="s">
        <v>4</v>
      </c>
    </row>
    <row r="7" spans="1:30" x14ac:dyDescent="0.25">
      <c r="A7">
        <v>1000</v>
      </c>
      <c r="C7" s="9">
        <v>244</v>
      </c>
      <c r="D7" s="10">
        <f>($B$2*C7)/($A$2+C7)</f>
        <v>0.64726688102893881</v>
      </c>
      <c r="E7" s="9">
        <f t="shared" si="1"/>
        <v>226.7131242740999</v>
      </c>
      <c r="F7" s="11">
        <f>(($B$2*E7)/($B$6+E7))*$A$6/($A$6+$A$7)</f>
        <v>0.69817597073985904</v>
      </c>
      <c r="G7" s="9">
        <v>90</v>
      </c>
      <c r="R7" s="2"/>
      <c r="S7" s="2" t="s">
        <v>8</v>
      </c>
      <c r="T7" s="4">
        <f t="shared" si="2"/>
        <v>0.64726688102893881</v>
      </c>
      <c r="U7" s="2" t="s">
        <v>3</v>
      </c>
      <c r="V7" s="2" t="s">
        <v>9</v>
      </c>
      <c r="W7" s="3">
        <f t="shared" si="3"/>
        <v>90</v>
      </c>
      <c r="X7" s="2" t="s">
        <v>4</v>
      </c>
      <c r="Y7" s="2" t="s">
        <v>8</v>
      </c>
      <c r="Z7" s="4">
        <f t="shared" si="4"/>
        <v>0.69817597073985904</v>
      </c>
      <c r="AA7" s="2" t="s">
        <v>3</v>
      </c>
      <c r="AB7" s="2" t="s">
        <v>9</v>
      </c>
      <c r="AC7" s="3">
        <f t="shared" si="5"/>
        <v>90</v>
      </c>
      <c r="AD7" s="2" t="s">
        <v>4</v>
      </c>
    </row>
    <row r="8" spans="1:30" x14ac:dyDescent="0.25">
      <c r="C8" s="9">
        <v>323.39999999999998</v>
      </c>
      <c r="D8" s="10">
        <f t="shared" si="0"/>
        <v>0.80642285023424487</v>
      </c>
      <c r="E8" s="9">
        <f t="shared" si="1"/>
        <v>293.71629675881246</v>
      </c>
      <c r="F8" s="11">
        <f>(($B$2*E8)/($B$6+E8))*$A$6/($A$6+$A$7)</f>
        <v>0.82910953897395789</v>
      </c>
      <c r="G8" s="9">
        <v>80</v>
      </c>
      <c r="R8" s="2"/>
      <c r="S8" s="2" t="s">
        <v>8</v>
      </c>
      <c r="T8" s="4">
        <f t="shared" si="2"/>
        <v>0.80642285023424487</v>
      </c>
      <c r="U8" s="2" t="s">
        <v>3</v>
      </c>
      <c r="V8" s="2" t="s">
        <v>9</v>
      </c>
      <c r="W8" s="3">
        <f t="shared" si="3"/>
        <v>80</v>
      </c>
      <c r="X8" s="2" t="s">
        <v>4</v>
      </c>
      <c r="Y8" s="2" t="s">
        <v>8</v>
      </c>
      <c r="Z8" s="4">
        <f t="shared" si="4"/>
        <v>0.82910953897395789</v>
      </c>
      <c r="AA8" s="2" t="s">
        <v>3</v>
      </c>
      <c r="AB8" s="2" t="s">
        <v>9</v>
      </c>
      <c r="AC8" s="3">
        <f t="shared" si="5"/>
        <v>80</v>
      </c>
      <c r="AD8" s="2" t="s">
        <v>4</v>
      </c>
    </row>
    <row r="9" spans="1:30" x14ac:dyDescent="0.25">
      <c r="C9" s="9">
        <v>434.9</v>
      </c>
      <c r="D9" s="10">
        <f t="shared" si="0"/>
        <v>1.000188166422747</v>
      </c>
      <c r="E9" s="9">
        <f t="shared" si="1"/>
        <v>382.8661036067017</v>
      </c>
      <c r="F9" s="11">
        <f t="shared" si="6"/>
        <v>0.97285300567343058</v>
      </c>
      <c r="G9" s="9">
        <v>70</v>
      </c>
      <c r="R9" s="2"/>
      <c r="S9" s="2" t="s">
        <v>8</v>
      </c>
      <c r="T9" s="4">
        <f t="shared" si="2"/>
        <v>1.000188166422747</v>
      </c>
      <c r="U9" s="2" t="s">
        <v>3</v>
      </c>
      <c r="V9" s="2" t="s">
        <v>9</v>
      </c>
      <c r="W9" s="3">
        <f t="shared" si="3"/>
        <v>70</v>
      </c>
      <c r="X9" s="2" t="s">
        <v>4</v>
      </c>
      <c r="Y9" s="2" t="s">
        <v>8</v>
      </c>
      <c r="Z9" s="4">
        <f t="shared" si="4"/>
        <v>0.97285300567343058</v>
      </c>
      <c r="AA9" s="2" t="s">
        <v>3</v>
      </c>
      <c r="AB9" s="2" t="s">
        <v>9</v>
      </c>
      <c r="AC9" s="3">
        <f t="shared" si="5"/>
        <v>70</v>
      </c>
      <c r="AD9" s="2" t="s">
        <v>4</v>
      </c>
    </row>
    <row r="10" spans="1:30" x14ac:dyDescent="0.25">
      <c r="C10" s="9">
        <v>594</v>
      </c>
      <c r="D10" s="10">
        <f t="shared" si="0"/>
        <v>1.2297365119196988</v>
      </c>
      <c r="E10" s="9">
        <f t="shared" si="1"/>
        <v>501.00158144438586</v>
      </c>
      <c r="F10" s="11">
        <f t="shared" si="6"/>
        <v>1.1242784964570069</v>
      </c>
      <c r="G10" s="9">
        <v>60</v>
      </c>
      <c r="R10" s="2"/>
      <c r="S10" s="2" t="s">
        <v>8</v>
      </c>
      <c r="T10" s="4">
        <f t="shared" si="2"/>
        <v>1.2297365119196988</v>
      </c>
      <c r="U10" s="2" t="s">
        <v>3</v>
      </c>
      <c r="V10" s="2" t="s">
        <v>9</v>
      </c>
      <c r="W10" s="3">
        <f t="shared" si="3"/>
        <v>60</v>
      </c>
      <c r="X10" s="2" t="s">
        <v>4</v>
      </c>
      <c r="Y10" s="2" t="s">
        <v>8</v>
      </c>
      <c r="Z10" s="4">
        <f t="shared" si="4"/>
        <v>1.1242784964570069</v>
      </c>
      <c r="AA10" s="2" t="s">
        <v>3</v>
      </c>
      <c r="AB10" s="2" t="s">
        <v>9</v>
      </c>
      <c r="AC10" s="3">
        <f t="shared" si="5"/>
        <v>60</v>
      </c>
      <c r="AD10" s="2" t="s">
        <v>4</v>
      </c>
    </row>
    <row r="11" spans="1:30" x14ac:dyDescent="0.25">
      <c r="C11" s="9">
        <v>824</v>
      </c>
      <c r="D11" s="10">
        <f t="shared" si="0"/>
        <v>1.4907894736842104</v>
      </c>
      <c r="E11" s="9">
        <f t="shared" si="1"/>
        <v>655.26838966202786</v>
      </c>
      <c r="F11" s="11">
        <f t="shared" si="6"/>
        <v>1.2757920597819594</v>
      </c>
      <c r="G11" s="9">
        <v>50</v>
      </c>
      <c r="R11" s="2"/>
      <c r="S11" s="2" t="s">
        <v>8</v>
      </c>
      <c r="T11" s="4">
        <f t="shared" si="2"/>
        <v>1.4907894736842104</v>
      </c>
      <c r="U11" s="2" t="s">
        <v>3</v>
      </c>
      <c r="V11" s="2" t="s">
        <v>9</v>
      </c>
      <c r="W11" s="3">
        <f t="shared" si="3"/>
        <v>50</v>
      </c>
      <c r="X11" s="2" t="s">
        <v>4</v>
      </c>
      <c r="Y11" s="2" t="s">
        <v>8</v>
      </c>
      <c r="Z11" s="4">
        <f t="shared" si="4"/>
        <v>1.2757920597819594</v>
      </c>
      <c r="AA11" s="2" t="s">
        <v>3</v>
      </c>
      <c r="AB11" s="2" t="s">
        <v>9</v>
      </c>
      <c r="AC11" s="3">
        <f t="shared" si="5"/>
        <v>50</v>
      </c>
      <c r="AD11" s="2" t="s">
        <v>4</v>
      </c>
    </row>
    <row r="12" spans="1:30" x14ac:dyDescent="0.25">
      <c r="C12" s="9">
        <v>1167</v>
      </c>
      <c r="D12" s="10">
        <f t="shared" si="0"/>
        <v>1.7771573604060913</v>
      </c>
      <c r="E12" s="9">
        <f t="shared" si="1"/>
        <v>855.14082894435535</v>
      </c>
      <c r="F12" s="11">
        <f>(($B$2*E12)/($B$6+E12))*$A$6/($A$6+$A$7)</f>
        <v>1.4211726105707054</v>
      </c>
      <c r="G12" s="9">
        <v>40</v>
      </c>
      <c r="R12" s="2"/>
      <c r="S12" s="2" t="s">
        <v>8</v>
      </c>
      <c r="T12" s="4">
        <f t="shared" si="2"/>
        <v>1.7771573604060913</v>
      </c>
      <c r="U12" s="2" t="s">
        <v>3</v>
      </c>
      <c r="V12" s="2" t="s">
        <v>9</v>
      </c>
      <c r="W12" s="3">
        <f t="shared" si="3"/>
        <v>40</v>
      </c>
      <c r="X12" s="2" t="s">
        <v>4</v>
      </c>
      <c r="Y12" s="2" t="s">
        <v>8</v>
      </c>
      <c r="Z12" s="4">
        <f t="shared" si="4"/>
        <v>1.4211726105707054</v>
      </c>
      <c r="AA12" s="2" t="s">
        <v>3</v>
      </c>
      <c r="AB12" s="2" t="s">
        <v>9</v>
      </c>
      <c r="AC12" s="3">
        <f t="shared" si="5"/>
        <v>40</v>
      </c>
      <c r="AD12" s="2" t="s">
        <v>4</v>
      </c>
    </row>
    <row r="13" spans="1:30" x14ac:dyDescent="0.25">
      <c r="C13" s="9">
        <v>1683</v>
      </c>
      <c r="D13" s="10">
        <f t="shared" si="0"/>
        <v>2.0700335445396942</v>
      </c>
      <c r="E13" s="9">
        <f t="shared" si="1"/>
        <v>1102.9285275445422</v>
      </c>
      <c r="F13" s="11">
        <f t="shared" si="6"/>
        <v>1.5513825033995983</v>
      </c>
      <c r="G13" s="9">
        <v>30</v>
      </c>
      <c r="R13" s="2"/>
      <c r="S13" s="2" t="s">
        <v>8</v>
      </c>
      <c r="T13" s="4">
        <f t="shared" si="2"/>
        <v>2.0700335445396942</v>
      </c>
      <c r="U13" s="2" t="s">
        <v>3</v>
      </c>
      <c r="V13" s="2" t="s">
        <v>9</v>
      </c>
      <c r="W13" s="3">
        <f t="shared" si="3"/>
        <v>30</v>
      </c>
      <c r="X13" s="2" t="s">
        <v>4</v>
      </c>
      <c r="Y13" s="2" t="s">
        <v>8</v>
      </c>
      <c r="Z13" s="4">
        <f t="shared" si="4"/>
        <v>1.5513825033995983</v>
      </c>
      <c r="AA13" s="2" t="s">
        <v>3</v>
      </c>
      <c r="AB13" s="2" t="s">
        <v>9</v>
      </c>
      <c r="AC13" s="3">
        <f t="shared" si="5"/>
        <v>30</v>
      </c>
      <c r="AD13" s="2" t="s">
        <v>4</v>
      </c>
    </row>
    <row r="14" spans="1:30" x14ac:dyDescent="0.25">
      <c r="C14" s="9">
        <v>2480</v>
      </c>
      <c r="D14" s="10">
        <f t="shared" si="0"/>
        <v>2.3517241379310345</v>
      </c>
      <c r="E14" s="9">
        <f t="shared" si="1"/>
        <v>1397.1830985915492</v>
      </c>
      <c r="F14" s="11">
        <f>(($B$2*E14)/($B$6+E14))*$A$6/($A$6+$A$7)</f>
        <v>1.6620633631194153</v>
      </c>
      <c r="G14" s="9">
        <v>20</v>
      </c>
      <c r="R14" s="2"/>
      <c r="S14" s="2" t="s">
        <v>8</v>
      </c>
      <c r="T14" s="4">
        <f t="shared" si="2"/>
        <v>2.3517241379310345</v>
      </c>
      <c r="U14" s="2" t="s">
        <v>3</v>
      </c>
      <c r="V14" s="2" t="s">
        <v>9</v>
      </c>
      <c r="W14" s="3">
        <f t="shared" si="3"/>
        <v>20</v>
      </c>
      <c r="X14" s="2" t="s">
        <v>4</v>
      </c>
      <c r="Y14" s="2" t="s">
        <v>8</v>
      </c>
      <c r="Z14" s="4">
        <f t="shared" si="4"/>
        <v>1.6620633631194153</v>
      </c>
      <c r="AA14" s="2" t="s">
        <v>3</v>
      </c>
      <c r="AB14" s="2" t="s">
        <v>9</v>
      </c>
      <c r="AC14" s="3">
        <f t="shared" si="5"/>
        <v>20</v>
      </c>
      <c r="AD14" s="2" t="s">
        <v>4</v>
      </c>
    </row>
    <row r="15" spans="1:30" x14ac:dyDescent="0.25">
      <c r="C15" s="9">
        <v>3740</v>
      </c>
      <c r="D15" s="10">
        <f t="shared" si="0"/>
        <v>2.6037974683544305</v>
      </c>
      <c r="E15" s="9">
        <f t="shared" si="1"/>
        <v>1724.4956772334294</v>
      </c>
      <c r="F15" s="11">
        <f t="shared" si="6"/>
        <v>1.7509318131988596</v>
      </c>
      <c r="G15" s="9">
        <v>10</v>
      </c>
      <c r="R15" s="2"/>
      <c r="S15" s="2" t="s">
        <v>8</v>
      </c>
      <c r="T15" s="4">
        <f t="shared" si="2"/>
        <v>2.6037974683544305</v>
      </c>
      <c r="U15" s="2" t="s">
        <v>3</v>
      </c>
      <c r="V15" s="2" t="s">
        <v>9</v>
      </c>
      <c r="W15" s="3">
        <f t="shared" si="3"/>
        <v>10</v>
      </c>
      <c r="X15" s="2" t="s">
        <v>4</v>
      </c>
      <c r="Y15" s="2" t="s">
        <v>8</v>
      </c>
      <c r="Z15" s="4">
        <f t="shared" si="4"/>
        <v>1.7509318131988596</v>
      </c>
      <c r="AA15" s="2" t="s">
        <v>3</v>
      </c>
      <c r="AB15" s="2" t="s">
        <v>9</v>
      </c>
      <c r="AC15" s="3">
        <f t="shared" si="5"/>
        <v>10</v>
      </c>
      <c r="AD15" s="2" t="s">
        <v>4</v>
      </c>
    </row>
    <row r="16" spans="1:30" x14ac:dyDescent="0.25">
      <c r="C16" s="9">
        <v>5784</v>
      </c>
      <c r="D16" s="10">
        <f t="shared" si="0"/>
        <v>2.813561320754717</v>
      </c>
      <c r="E16" s="9">
        <f t="shared" si="1"/>
        <v>2060.1959038290292</v>
      </c>
      <c r="F16" s="11">
        <f t="shared" si="6"/>
        <v>1.8185654446996704</v>
      </c>
      <c r="G16" s="9">
        <v>0</v>
      </c>
      <c r="R16" s="2"/>
      <c r="S16" s="2" t="s">
        <v>8</v>
      </c>
      <c r="T16" s="4">
        <f t="shared" si="2"/>
        <v>2.813561320754717</v>
      </c>
      <c r="U16" s="2" t="s">
        <v>3</v>
      </c>
      <c r="V16" s="2" t="s">
        <v>9</v>
      </c>
      <c r="W16" s="3">
        <f t="shared" si="3"/>
        <v>0</v>
      </c>
      <c r="X16" s="2" t="s">
        <v>4</v>
      </c>
      <c r="Y16" s="2" t="s">
        <v>8</v>
      </c>
      <c r="Z16" s="4">
        <f t="shared" si="4"/>
        <v>1.8185654446996704</v>
      </c>
      <c r="AA16" s="2" t="s">
        <v>3</v>
      </c>
      <c r="AB16" s="2" t="s">
        <v>9</v>
      </c>
      <c r="AC16" s="3">
        <f t="shared" si="5"/>
        <v>0</v>
      </c>
      <c r="AD16" s="2" t="s">
        <v>4</v>
      </c>
    </row>
    <row r="17" spans="1:30" x14ac:dyDescent="0.25">
      <c r="C17" s="9">
        <v>9195</v>
      </c>
      <c r="D17" s="10">
        <f t="shared" si="0"/>
        <v>2.9763119176066701</v>
      </c>
      <c r="E17" s="9">
        <f t="shared" si="1"/>
        <v>2373.860427591771</v>
      </c>
      <c r="F17" s="11">
        <f t="shared" si="6"/>
        <v>1.8675299933278222</v>
      </c>
      <c r="G17" s="9">
        <v>-10</v>
      </c>
      <c r="R17" s="2"/>
      <c r="S17" s="2" t="s">
        <v>8</v>
      </c>
      <c r="T17" s="4">
        <f t="shared" si="2"/>
        <v>2.9763119176066701</v>
      </c>
      <c r="U17" s="2" t="s">
        <v>3</v>
      </c>
      <c r="V17" s="2" t="s">
        <v>9</v>
      </c>
      <c r="W17" s="3">
        <f t="shared" si="3"/>
        <v>-10</v>
      </c>
      <c r="X17" s="2" t="s">
        <v>4</v>
      </c>
      <c r="Y17" s="2" t="s">
        <v>8</v>
      </c>
      <c r="Z17" s="4">
        <f t="shared" si="4"/>
        <v>1.8675299933278222</v>
      </c>
      <c r="AA17" s="2" t="s">
        <v>3</v>
      </c>
      <c r="AB17" s="2" t="s">
        <v>9</v>
      </c>
      <c r="AC17" s="3">
        <f t="shared" si="5"/>
        <v>-10</v>
      </c>
      <c r="AD17" s="2" t="s">
        <v>4</v>
      </c>
    </row>
    <row r="18" spans="1:30" x14ac:dyDescent="0.25">
      <c r="C18" s="9">
        <v>15067</v>
      </c>
      <c r="D18" s="10">
        <f t="shared" si="0"/>
        <v>3.0946100703304911</v>
      </c>
      <c r="E18" s="9">
        <f t="shared" si="1"/>
        <v>2639.4262878414629</v>
      </c>
      <c r="F18" s="11">
        <f t="shared" si="6"/>
        <v>1.9013616586798987</v>
      </c>
      <c r="G18" s="9">
        <v>-20</v>
      </c>
      <c r="R18" s="2"/>
      <c r="S18" s="2" t="s">
        <v>8</v>
      </c>
      <c r="T18" s="4">
        <f t="shared" si="2"/>
        <v>3.0946100703304911</v>
      </c>
      <c r="U18" s="2" t="s">
        <v>3</v>
      </c>
      <c r="V18" s="2" t="s">
        <v>9</v>
      </c>
      <c r="W18" s="3">
        <f t="shared" si="3"/>
        <v>-20</v>
      </c>
      <c r="X18" s="2" t="s">
        <v>4</v>
      </c>
      <c r="Y18" s="2" t="s">
        <v>8</v>
      </c>
      <c r="Z18" s="4">
        <f t="shared" si="4"/>
        <v>1.9013616586798987</v>
      </c>
      <c r="AA18" s="2" t="s">
        <v>3</v>
      </c>
      <c r="AB18" s="2" t="s">
        <v>9</v>
      </c>
      <c r="AC18" s="3">
        <f t="shared" si="5"/>
        <v>-20</v>
      </c>
      <c r="AD18" s="2" t="s">
        <v>4</v>
      </c>
    </row>
    <row r="19" spans="1:30" x14ac:dyDescent="0.25">
      <c r="C19" s="9">
        <v>25524</v>
      </c>
      <c r="D19" s="10">
        <f t="shared" si="0"/>
        <v>3.1755843764138136</v>
      </c>
      <c r="E19" s="9">
        <f t="shared" si="1"/>
        <v>2843.5036902938309</v>
      </c>
      <c r="F19" s="11">
        <f t="shared" si="6"/>
        <v>1.9237190691115296</v>
      </c>
      <c r="G19" s="9">
        <v>-30</v>
      </c>
      <c r="R19" s="2"/>
      <c r="S19" s="2" t="s">
        <v>8</v>
      </c>
      <c r="T19" s="4">
        <f t="shared" si="2"/>
        <v>3.1755843764138136</v>
      </c>
      <c r="U19" s="2" t="s">
        <v>3</v>
      </c>
      <c r="V19" s="2" t="s">
        <v>9</v>
      </c>
      <c r="W19" s="3">
        <f t="shared" si="3"/>
        <v>-30</v>
      </c>
      <c r="X19" s="2" t="s">
        <v>4</v>
      </c>
      <c r="Y19" s="2" t="s">
        <v>8</v>
      </c>
      <c r="Z19" s="4">
        <f t="shared" si="4"/>
        <v>1.9237190691115296</v>
      </c>
      <c r="AA19" s="2" t="s">
        <v>3</v>
      </c>
      <c r="AB19" s="2" t="s">
        <v>9</v>
      </c>
      <c r="AC19" s="3">
        <f t="shared" si="5"/>
        <v>-30</v>
      </c>
      <c r="AD19" s="2" t="s">
        <v>4</v>
      </c>
    </row>
    <row r="20" spans="1:30" x14ac:dyDescent="0.25">
      <c r="C20" s="9">
        <v>44864</v>
      </c>
      <c r="D20" s="10">
        <f t="shared" si="0"/>
        <v>3.2280481423338561</v>
      </c>
      <c r="E20" s="9">
        <f t="shared" si="1"/>
        <v>2986.9507323568573</v>
      </c>
      <c r="F20" s="11">
        <f t="shared" si="6"/>
        <v>1.9378724473671181</v>
      </c>
      <c r="G20" s="9">
        <v>-40</v>
      </c>
      <c r="R20" s="2"/>
      <c r="S20" s="2" t="s">
        <v>8</v>
      </c>
      <c r="T20" s="4">
        <f t="shared" si="2"/>
        <v>3.2280481423338561</v>
      </c>
      <c r="U20" s="2" t="s">
        <v>3</v>
      </c>
      <c r="V20" s="2" t="s">
        <v>9</v>
      </c>
      <c r="W20" s="3">
        <f t="shared" si="3"/>
        <v>-40</v>
      </c>
      <c r="X20" s="2" t="s">
        <v>5</v>
      </c>
      <c r="Y20" s="2" t="s">
        <v>8</v>
      </c>
      <c r="Z20" s="4">
        <f t="shared" si="4"/>
        <v>1.9378724473671181</v>
      </c>
      <c r="AA20" s="2" t="s">
        <v>3</v>
      </c>
      <c r="AB20" s="2" t="s">
        <v>9</v>
      </c>
      <c r="AC20" s="3">
        <f t="shared" si="5"/>
        <v>-40</v>
      </c>
      <c r="AD20" s="2" t="s">
        <v>5</v>
      </c>
    </row>
    <row r="21" spans="1:30" x14ac:dyDescent="0.25">
      <c r="S21" s="2" t="s">
        <v>7</v>
      </c>
      <c r="T21" s="4"/>
      <c r="U21" s="2"/>
      <c r="V21" s="2"/>
      <c r="W21" s="3"/>
      <c r="X21" s="2"/>
      <c r="Y21" s="2" t="s">
        <v>7</v>
      </c>
      <c r="Z21" s="4"/>
      <c r="AA21" s="2"/>
      <c r="AB21" s="2"/>
      <c r="AC21" s="3"/>
      <c r="AD21" s="2"/>
    </row>
    <row r="25" spans="1:30" x14ac:dyDescent="0.25">
      <c r="A25" s="6"/>
    </row>
    <row r="46" spans="20:27" x14ac:dyDescent="0.25">
      <c r="T46"/>
      <c r="U46">
        <v>71.900000000000006</v>
      </c>
      <c r="Z46"/>
      <c r="AA46">
        <v>71.900000000000006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20AD-E949-4065-A9BD-AAFD2AE8E8B5}">
  <dimension ref="A1:AD47"/>
  <sheetViews>
    <sheetView zoomScale="85" zoomScaleNormal="85" workbookViewId="0">
      <selection activeCell="E61" sqref="E61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4.42578125" style="1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3"/>
      <c r="X1" s="2"/>
      <c r="Y1" s="2" t="s">
        <v>17</v>
      </c>
      <c r="Z1" s="4"/>
      <c r="AA1" s="2"/>
      <c r="AB1" s="2"/>
      <c r="AC1" s="3"/>
      <c r="AD1" s="2"/>
    </row>
    <row r="2" spans="1:30" x14ac:dyDescent="0.25">
      <c r="A2">
        <v>1000</v>
      </c>
      <c r="B2">
        <v>3.3</v>
      </c>
      <c r="C2" s="9">
        <v>80</v>
      </c>
      <c r="D2" s="10">
        <f t="shared" ref="D2:D20" si="0">($B$2*C2)/($A$2+C2)</f>
        <v>0.24444444444444444</v>
      </c>
      <c r="E2" s="9">
        <f>C2*($A$6+$A$7)/(C2+$A$6+$A$7)</f>
        <v>78.048780487804876</v>
      </c>
      <c r="F2" s="11">
        <f>(($B$2*E2)/($B$6+E2))*$A$6/($A$6+$A$7)</f>
        <v>0.1642533936651584</v>
      </c>
      <c r="G2" s="9">
        <v>150</v>
      </c>
      <c r="R2" s="2"/>
      <c r="S2" s="2" t="s">
        <v>8</v>
      </c>
      <c r="T2" s="4">
        <f>D2</f>
        <v>0.24444444444444444</v>
      </c>
      <c r="U2" s="2" t="s">
        <v>3</v>
      </c>
      <c r="V2" s="2" t="s">
        <v>9</v>
      </c>
      <c r="W2" s="3">
        <f>G2</f>
        <v>150</v>
      </c>
      <c r="X2" s="2" t="s">
        <v>4</v>
      </c>
      <c r="Y2" s="2" t="s">
        <v>8</v>
      </c>
      <c r="Z2" s="4">
        <f>F2</f>
        <v>0.1642533936651584</v>
      </c>
      <c r="AA2" s="2" t="s">
        <v>3</v>
      </c>
      <c r="AB2" s="2" t="s">
        <v>9</v>
      </c>
      <c r="AC2" s="3">
        <f>G2</f>
        <v>150</v>
      </c>
      <c r="AD2" s="2" t="s">
        <v>4</v>
      </c>
    </row>
    <row r="3" spans="1:30" x14ac:dyDescent="0.25">
      <c r="C3" s="9">
        <v>92</v>
      </c>
      <c r="D3" s="10">
        <f t="shared" si="0"/>
        <v>0.27802197802197798</v>
      </c>
      <c r="E3" s="9">
        <f t="shared" ref="E3:E20" si="1">C3*($A$6+$A$7)/(C3+$A$6+$A$7)</f>
        <v>89.428918590522485</v>
      </c>
      <c r="F3" s="11">
        <f t="shared" ref="F3:F20" si="2">(($B$2*E3)/($B$6+E3))*$A$6/($A$6+$A$7)</f>
        <v>0.18623689493642651</v>
      </c>
      <c r="G3" s="9">
        <v>140</v>
      </c>
      <c r="R3" s="2"/>
      <c r="S3" s="2" t="s">
        <v>8</v>
      </c>
      <c r="T3" s="4">
        <f t="shared" ref="T3:T20" si="3">D3</f>
        <v>0.27802197802197798</v>
      </c>
      <c r="U3" s="2" t="s">
        <v>3</v>
      </c>
      <c r="V3" s="2" t="s">
        <v>9</v>
      </c>
      <c r="W3" s="3">
        <f t="shared" ref="W3:W20" si="4">G3</f>
        <v>140</v>
      </c>
      <c r="X3" s="2" t="s">
        <v>4</v>
      </c>
      <c r="Y3" s="2" t="s">
        <v>8</v>
      </c>
      <c r="Z3" s="4">
        <f t="shared" ref="Z3:Z20" si="5">F3</f>
        <v>0.18623689493642651</v>
      </c>
      <c r="AA3" s="2" t="s">
        <v>3</v>
      </c>
      <c r="AB3" s="2" t="s">
        <v>9</v>
      </c>
      <c r="AC3" s="3">
        <f t="shared" ref="AC3:AC20" si="6">G3</f>
        <v>140</v>
      </c>
      <c r="AD3" s="2" t="s">
        <v>4</v>
      </c>
    </row>
    <row r="4" spans="1:30" x14ac:dyDescent="0.25">
      <c r="A4" t="s">
        <v>13</v>
      </c>
      <c r="C4" s="9">
        <v>103</v>
      </c>
      <c r="D4" s="10">
        <f t="shared" si="0"/>
        <v>0.30815956482320939</v>
      </c>
      <c r="E4" s="9">
        <f t="shared" si="1"/>
        <v>99.788071450196796</v>
      </c>
      <c r="F4" s="11">
        <f t="shared" si="2"/>
        <v>0.20585255739690581</v>
      </c>
      <c r="G4" s="9">
        <v>130</v>
      </c>
      <c r="R4" s="2"/>
      <c r="S4" s="2" t="s">
        <v>8</v>
      </c>
      <c r="T4" s="4">
        <f t="shared" si="3"/>
        <v>0.30815956482320939</v>
      </c>
      <c r="U4" s="2" t="s">
        <v>3</v>
      </c>
      <c r="V4" s="2" t="s">
        <v>9</v>
      </c>
      <c r="W4" s="3">
        <f t="shared" si="4"/>
        <v>130</v>
      </c>
      <c r="X4" s="2" t="s">
        <v>4</v>
      </c>
      <c r="Y4" s="2" t="s">
        <v>8</v>
      </c>
      <c r="Z4" s="4">
        <f t="shared" si="5"/>
        <v>0.20585255739690581</v>
      </c>
      <c r="AA4" s="2" t="s">
        <v>3</v>
      </c>
      <c r="AB4" s="2" t="s">
        <v>9</v>
      </c>
      <c r="AC4" s="3">
        <f t="shared" si="6"/>
        <v>130</v>
      </c>
      <c r="AD4" s="2" t="s">
        <v>4</v>
      </c>
    </row>
    <row r="5" spans="1:30" x14ac:dyDescent="0.25">
      <c r="A5" t="s">
        <v>11</v>
      </c>
      <c r="B5" t="s">
        <v>14</v>
      </c>
      <c r="C5" s="9">
        <v>115</v>
      </c>
      <c r="D5" s="10">
        <f t="shared" si="0"/>
        <v>0.34035874439461883</v>
      </c>
      <c r="E5" s="9">
        <f t="shared" si="1"/>
        <v>111.0105580693816</v>
      </c>
      <c r="F5" s="11">
        <f t="shared" si="2"/>
        <v>0.22669019820798261</v>
      </c>
      <c r="G5" s="9">
        <v>120</v>
      </c>
      <c r="R5" s="2"/>
      <c r="S5" s="2" t="s">
        <v>8</v>
      </c>
      <c r="T5" s="4">
        <f t="shared" si="3"/>
        <v>0.34035874439461883</v>
      </c>
      <c r="U5" s="2" t="s">
        <v>3</v>
      </c>
      <c r="V5" s="2" t="s">
        <v>9</v>
      </c>
      <c r="W5" s="3">
        <f t="shared" si="4"/>
        <v>120</v>
      </c>
      <c r="X5" s="2" t="s">
        <v>4</v>
      </c>
      <c r="Y5" s="2" t="s">
        <v>8</v>
      </c>
      <c r="Z5" s="4">
        <f t="shared" si="5"/>
        <v>0.22669019820798261</v>
      </c>
      <c r="AA5" s="2" t="s">
        <v>3</v>
      </c>
      <c r="AB5" s="2" t="s">
        <v>9</v>
      </c>
      <c r="AC5" s="3">
        <f t="shared" si="6"/>
        <v>120</v>
      </c>
      <c r="AD5" s="2" t="s">
        <v>4</v>
      </c>
    </row>
    <row r="6" spans="1:30" x14ac:dyDescent="0.25">
      <c r="A6">
        <v>2200</v>
      </c>
      <c r="B6">
        <v>1000</v>
      </c>
      <c r="C6" s="9">
        <v>140</v>
      </c>
      <c r="D6" s="10">
        <f t="shared" si="0"/>
        <v>0.40526315789473683</v>
      </c>
      <c r="E6" s="9">
        <f t="shared" si="1"/>
        <v>134.1317365269461</v>
      </c>
      <c r="F6" s="11">
        <f t="shared" si="2"/>
        <v>0.26832101372756068</v>
      </c>
      <c r="G6" s="9">
        <v>110</v>
      </c>
      <c r="R6" s="2"/>
      <c r="S6" s="2" t="s">
        <v>8</v>
      </c>
      <c r="T6" s="4">
        <f t="shared" si="3"/>
        <v>0.40526315789473683</v>
      </c>
      <c r="U6" s="2" t="s">
        <v>3</v>
      </c>
      <c r="V6" s="2" t="s">
        <v>9</v>
      </c>
      <c r="W6" s="3">
        <f t="shared" si="4"/>
        <v>110</v>
      </c>
      <c r="X6" s="2" t="s">
        <v>4</v>
      </c>
      <c r="Y6" s="2" t="s">
        <v>8</v>
      </c>
      <c r="Z6" s="4">
        <f t="shared" si="5"/>
        <v>0.26832101372756068</v>
      </c>
      <c r="AA6" s="2" t="s">
        <v>3</v>
      </c>
      <c r="AB6" s="2" t="s">
        <v>9</v>
      </c>
      <c r="AC6" s="3">
        <f t="shared" si="6"/>
        <v>110</v>
      </c>
      <c r="AD6" s="2" t="s">
        <v>4</v>
      </c>
    </row>
    <row r="7" spans="1:30" x14ac:dyDescent="0.25">
      <c r="A7">
        <v>1000</v>
      </c>
      <c r="C7" s="9">
        <v>174</v>
      </c>
      <c r="D7" s="10">
        <f t="shared" si="0"/>
        <v>0.48909710391822825</v>
      </c>
      <c r="E7" s="9">
        <f t="shared" si="1"/>
        <v>165.02667457024305</v>
      </c>
      <c r="F7" s="11">
        <f t="shared" si="2"/>
        <v>0.32136969573623686</v>
      </c>
      <c r="G7" s="9">
        <v>100</v>
      </c>
      <c r="R7" s="2"/>
      <c r="S7" s="2" t="s">
        <v>8</v>
      </c>
      <c r="T7" s="4">
        <f t="shared" si="3"/>
        <v>0.48909710391822825</v>
      </c>
      <c r="U7" s="2" t="s">
        <v>3</v>
      </c>
      <c r="V7" s="2" t="s">
        <v>9</v>
      </c>
      <c r="W7" s="3">
        <f t="shared" si="4"/>
        <v>100</v>
      </c>
      <c r="X7" s="2" t="s">
        <v>4</v>
      </c>
      <c r="Y7" s="2" t="s">
        <v>8</v>
      </c>
      <c r="Z7" s="4">
        <f t="shared" si="5"/>
        <v>0.32136969573623686</v>
      </c>
      <c r="AA7" s="2" t="s">
        <v>3</v>
      </c>
      <c r="AB7" s="2" t="s">
        <v>9</v>
      </c>
      <c r="AC7" s="3">
        <f t="shared" si="6"/>
        <v>100</v>
      </c>
      <c r="AD7" s="2" t="s">
        <v>4</v>
      </c>
    </row>
    <row r="8" spans="1:30" x14ac:dyDescent="0.25">
      <c r="C8" s="9">
        <v>221</v>
      </c>
      <c r="D8" s="10">
        <f t="shared" si="0"/>
        <v>0.5972972972972973</v>
      </c>
      <c r="E8" s="9">
        <f t="shared" si="1"/>
        <v>206.72318035662087</v>
      </c>
      <c r="F8" s="11">
        <f t="shared" si="2"/>
        <v>0.38865849522794443</v>
      </c>
      <c r="G8" s="9">
        <v>90</v>
      </c>
      <c r="R8" s="2"/>
      <c r="S8" s="2" t="s">
        <v>8</v>
      </c>
      <c r="T8" s="4">
        <f t="shared" si="3"/>
        <v>0.5972972972972973</v>
      </c>
      <c r="U8" s="2" t="s">
        <v>3</v>
      </c>
      <c r="V8" s="2" t="s">
        <v>9</v>
      </c>
      <c r="W8" s="3">
        <f t="shared" si="4"/>
        <v>90</v>
      </c>
      <c r="X8" s="2" t="s">
        <v>4</v>
      </c>
      <c r="Y8" s="2" t="s">
        <v>8</v>
      </c>
      <c r="Z8" s="4">
        <f t="shared" si="5"/>
        <v>0.38865849522794443</v>
      </c>
      <c r="AA8" s="2" t="s">
        <v>3</v>
      </c>
      <c r="AB8" s="2" t="s">
        <v>9</v>
      </c>
      <c r="AC8" s="3">
        <f t="shared" si="6"/>
        <v>90</v>
      </c>
      <c r="AD8" s="2" t="s">
        <v>4</v>
      </c>
    </row>
    <row r="9" spans="1:30" x14ac:dyDescent="0.25">
      <c r="C9" s="9">
        <v>300</v>
      </c>
      <c r="D9" s="10">
        <f t="shared" si="0"/>
        <v>0.7615384615384615</v>
      </c>
      <c r="E9" s="9">
        <f t="shared" si="1"/>
        <v>274.28571428571428</v>
      </c>
      <c r="F9" s="11">
        <f t="shared" si="2"/>
        <v>0.48834080717488787</v>
      </c>
      <c r="G9" s="9">
        <v>80</v>
      </c>
      <c r="R9" s="2"/>
      <c r="S9" s="2" t="s">
        <v>8</v>
      </c>
      <c r="T9" s="4">
        <f t="shared" si="3"/>
        <v>0.7615384615384615</v>
      </c>
      <c r="U9" s="2" t="s">
        <v>3</v>
      </c>
      <c r="V9" s="2" t="s">
        <v>9</v>
      </c>
      <c r="W9" s="3">
        <f t="shared" si="4"/>
        <v>80</v>
      </c>
      <c r="X9" s="2" t="s">
        <v>4</v>
      </c>
      <c r="Y9" s="2" t="s">
        <v>8</v>
      </c>
      <c r="Z9" s="4">
        <f t="shared" si="5"/>
        <v>0.48834080717488787</v>
      </c>
      <c r="AA9" s="2" t="s">
        <v>3</v>
      </c>
      <c r="AB9" s="2" t="s">
        <v>9</v>
      </c>
      <c r="AC9" s="3">
        <f t="shared" si="6"/>
        <v>80</v>
      </c>
      <c r="AD9" s="2" t="s">
        <v>4</v>
      </c>
    </row>
    <row r="10" spans="1:30" x14ac:dyDescent="0.25">
      <c r="C10" s="9">
        <v>399</v>
      </c>
      <c r="D10" s="10">
        <f t="shared" si="0"/>
        <v>0.94117226590421721</v>
      </c>
      <c r="E10" s="9">
        <f t="shared" si="1"/>
        <v>354.76521255904419</v>
      </c>
      <c r="F10" s="11">
        <f t="shared" si="2"/>
        <v>0.59410558267361258</v>
      </c>
      <c r="G10" s="9">
        <v>70</v>
      </c>
      <c r="R10" s="2"/>
      <c r="S10" s="2" t="s">
        <v>8</v>
      </c>
      <c r="T10" s="4">
        <f t="shared" si="3"/>
        <v>0.94117226590421721</v>
      </c>
      <c r="U10" s="2" t="s">
        <v>3</v>
      </c>
      <c r="V10" s="2" t="s">
        <v>9</v>
      </c>
      <c r="W10" s="3">
        <f t="shared" si="4"/>
        <v>70</v>
      </c>
      <c r="X10" s="2" t="s">
        <v>4</v>
      </c>
      <c r="Y10" s="2" t="s">
        <v>8</v>
      </c>
      <c r="Z10" s="4">
        <f t="shared" si="5"/>
        <v>0.59410558267361258</v>
      </c>
      <c r="AA10" s="2" t="s">
        <v>3</v>
      </c>
      <c r="AB10" s="2" t="s">
        <v>9</v>
      </c>
      <c r="AC10" s="3">
        <f t="shared" si="6"/>
        <v>70</v>
      </c>
      <c r="AD10" s="2" t="s">
        <v>4</v>
      </c>
    </row>
    <row r="11" spans="1:30" x14ac:dyDescent="0.25">
      <c r="C11" s="9">
        <v>545</v>
      </c>
      <c r="D11" s="10">
        <f t="shared" si="0"/>
        <v>1.1640776699029127</v>
      </c>
      <c r="E11" s="9">
        <f t="shared" si="1"/>
        <v>465.6875834445928</v>
      </c>
      <c r="F11" s="11">
        <f t="shared" si="2"/>
        <v>0.7208416833667336</v>
      </c>
      <c r="G11" s="9">
        <v>60</v>
      </c>
      <c r="R11" s="2"/>
      <c r="S11" s="2" t="s">
        <v>8</v>
      </c>
      <c r="T11" s="4">
        <f t="shared" si="3"/>
        <v>1.1640776699029127</v>
      </c>
      <c r="U11" s="2" t="s">
        <v>3</v>
      </c>
      <c r="V11" s="2" t="s">
        <v>9</v>
      </c>
      <c r="W11" s="3">
        <f t="shared" si="4"/>
        <v>60</v>
      </c>
      <c r="X11" s="2" t="s">
        <v>4</v>
      </c>
      <c r="Y11" s="2" t="s">
        <v>8</v>
      </c>
      <c r="Z11" s="4">
        <f t="shared" si="5"/>
        <v>0.7208416833667336</v>
      </c>
      <c r="AA11" s="2" t="s">
        <v>3</v>
      </c>
      <c r="AB11" s="2" t="s">
        <v>9</v>
      </c>
      <c r="AC11" s="3">
        <f t="shared" si="6"/>
        <v>60</v>
      </c>
      <c r="AD11" s="2" t="s">
        <v>4</v>
      </c>
    </row>
    <row r="12" spans="1:30" x14ac:dyDescent="0.25">
      <c r="C12" s="9">
        <v>779</v>
      </c>
      <c r="D12" s="10">
        <f t="shared" si="0"/>
        <v>1.4450252951096121</v>
      </c>
      <c r="E12" s="9">
        <f t="shared" si="1"/>
        <v>626.48906760492582</v>
      </c>
      <c r="F12" s="11">
        <f t="shared" si="2"/>
        <v>0.87387434716771228</v>
      </c>
      <c r="G12" s="9">
        <v>50</v>
      </c>
      <c r="R12" s="2"/>
      <c r="S12" s="2" t="s">
        <v>8</v>
      </c>
      <c r="T12" s="4">
        <f t="shared" si="3"/>
        <v>1.4450252951096121</v>
      </c>
      <c r="U12" s="2" t="s">
        <v>3</v>
      </c>
      <c r="V12" s="2" t="s">
        <v>9</v>
      </c>
      <c r="W12" s="3">
        <f t="shared" si="4"/>
        <v>50</v>
      </c>
      <c r="X12" s="2" t="s">
        <v>4</v>
      </c>
      <c r="Y12" s="2" t="s">
        <v>8</v>
      </c>
      <c r="Z12" s="4">
        <f t="shared" si="5"/>
        <v>0.87387434716771228</v>
      </c>
      <c r="AA12" s="2" t="s">
        <v>3</v>
      </c>
      <c r="AB12" s="2" t="s">
        <v>9</v>
      </c>
      <c r="AC12" s="3">
        <f t="shared" si="6"/>
        <v>50</v>
      </c>
      <c r="AD12" s="2" t="s">
        <v>4</v>
      </c>
    </row>
    <row r="13" spans="1:30" x14ac:dyDescent="0.25">
      <c r="C13" s="9">
        <v>1132</v>
      </c>
      <c r="D13" s="10">
        <f t="shared" si="0"/>
        <v>1.7521575984990618</v>
      </c>
      <c r="E13" s="9">
        <f t="shared" si="1"/>
        <v>836.19575253924279</v>
      </c>
      <c r="F13" s="11">
        <f t="shared" si="2"/>
        <v>1.0331791209896408</v>
      </c>
      <c r="G13" s="9">
        <v>40</v>
      </c>
      <c r="R13" s="2"/>
      <c r="S13" s="2" t="s">
        <v>8</v>
      </c>
      <c r="T13" s="4">
        <f t="shared" si="3"/>
        <v>1.7521575984990618</v>
      </c>
      <c r="U13" s="2" t="s">
        <v>3</v>
      </c>
      <c r="V13" s="2" t="s">
        <v>9</v>
      </c>
      <c r="W13" s="3">
        <f t="shared" si="4"/>
        <v>40</v>
      </c>
      <c r="X13" s="2" t="s">
        <v>4</v>
      </c>
      <c r="Y13" s="2" t="s">
        <v>8</v>
      </c>
      <c r="Z13" s="4">
        <f t="shared" si="5"/>
        <v>1.0331791209896408</v>
      </c>
      <c r="AA13" s="2" t="s">
        <v>3</v>
      </c>
      <c r="AB13" s="2" t="s">
        <v>9</v>
      </c>
      <c r="AC13" s="3">
        <f t="shared" si="6"/>
        <v>40</v>
      </c>
      <c r="AD13" s="2" t="s">
        <v>4</v>
      </c>
    </row>
    <row r="14" spans="1:30" x14ac:dyDescent="0.25">
      <c r="C14" s="9">
        <v>1652</v>
      </c>
      <c r="D14" s="10">
        <f t="shared" si="0"/>
        <v>2.0556561085972849</v>
      </c>
      <c r="E14" s="9">
        <f t="shared" si="1"/>
        <v>1089.530090684254</v>
      </c>
      <c r="F14" s="11">
        <f t="shared" si="2"/>
        <v>1.1829795628501538</v>
      </c>
      <c r="G14" s="9">
        <v>30</v>
      </c>
      <c r="R14" s="2"/>
      <c r="S14" s="2" t="s">
        <v>8</v>
      </c>
      <c r="T14" s="4">
        <f t="shared" si="3"/>
        <v>2.0556561085972849</v>
      </c>
      <c r="U14" s="2" t="s">
        <v>3</v>
      </c>
      <c r="V14" s="2" t="s">
        <v>9</v>
      </c>
      <c r="W14" s="3">
        <f t="shared" si="4"/>
        <v>30</v>
      </c>
      <c r="X14" s="2" t="s">
        <v>4</v>
      </c>
      <c r="Y14" s="2" t="s">
        <v>8</v>
      </c>
      <c r="Z14" s="4">
        <f t="shared" si="5"/>
        <v>1.1829795628501538</v>
      </c>
      <c r="AA14" s="2" t="s">
        <v>3</v>
      </c>
      <c r="AB14" s="2" t="s">
        <v>9</v>
      </c>
      <c r="AC14" s="3">
        <f t="shared" si="6"/>
        <v>30</v>
      </c>
      <c r="AD14" s="2" t="s">
        <v>4</v>
      </c>
    </row>
    <row r="15" spans="1:30" x14ac:dyDescent="0.25">
      <c r="C15" s="9">
        <v>2499</v>
      </c>
      <c r="D15" s="10">
        <f t="shared" si="0"/>
        <v>2.3568733923978278</v>
      </c>
      <c r="E15" s="9">
        <f t="shared" si="1"/>
        <v>1403.1935427267942</v>
      </c>
      <c r="F15" s="11">
        <f t="shared" si="2"/>
        <v>1.324693701718775</v>
      </c>
      <c r="G15" s="9">
        <v>20</v>
      </c>
      <c r="R15" s="2"/>
      <c r="S15" s="2" t="s">
        <v>8</v>
      </c>
      <c r="T15" s="4">
        <f t="shared" si="3"/>
        <v>2.3568733923978278</v>
      </c>
      <c r="U15" s="2" t="s">
        <v>3</v>
      </c>
      <c r="V15" s="2" t="s">
        <v>9</v>
      </c>
      <c r="W15" s="3">
        <f t="shared" si="4"/>
        <v>20</v>
      </c>
      <c r="X15" s="2" t="s">
        <v>4</v>
      </c>
      <c r="Y15" s="2" t="s">
        <v>8</v>
      </c>
      <c r="Z15" s="4">
        <f t="shared" si="5"/>
        <v>1.324693701718775</v>
      </c>
      <c r="AA15" s="2" t="s">
        <v>3</v>
      </c>
      <c r="AB15" s="2" t="s">
        <v>9</v>
      </c>
      <c r="AC15" s="3">
        <f t="shared" si="6"/>
        <v>20</v>
      </c>
      <c r="AD15" s="2" t="s">
        <v>4</v>
      </c>
    </row>
    <row r="16" spans="1:30" x14ac:dyDescent="0.25">
      <c r="C16" s="9">
        <v>3747</v>
      </c>
      <c r="D16" s="10">
        <f t="shared" si="0"/>
        <v>2.6048240994312195</v>
      </c>
      <c r="E16" s="9">
        <f t="shared" si="1"/>
        <v>1725.9824384626459</v>
      </c>
      <c r="F16" s="11">
        <f t="shared" si="2"/>
        <v>1.4364812487458678</v>
      </c>
      <c r="G16" s="9">
        <v>10</v>
      </c>
      <c r="R16" s="2"/>
      <c r="S16" s="2" t="s">
        <v>8</v>
      </c>
      <c r="T16" s="4">
        <f t="shared" si="3"/>
        <v>2.6048240994312195</v>
      </c>
      <c r="U16" s="2" t="s">
        <v>3</v>
      </c>
      <c r="V16" s="2" t="s">
        <v>9</v>
      </c>
      <c r="W16" s="3">
        <f t="shared" si="4"/>
        <v>10</v>
      </c>
      <c r="X16" s="2" t="s">
        <v>4</v>
      </c>
      <c r="Y16" s="2" t="s">
        <v>8</v>
      </c>
      <c r="Z16" s="4">
        <f t="shared" si="5"/>
        <v>1.4364812487458678</v>
      </c>
      <c r="AA16" s="2" t="s">
        <v>3</v>
      </c>
      <c r="AB16" s="2" t="s">
        <v>9</v>
      </c>
      <c r="AC16" s="3">
        <f t="shared" si="6"/>
        <v>10</v>
      </c>
      <c r="AD16" s="2" t="s">
        <v>4</v>
      </c>
    </row>
    <row r="17" spans="1:30" x14ac:dyDescent="0.25">
      <c r="C17" s="9">
        <v>6035</v>
      </c>
      <c r="D17" s="10">
        <f t="shared" si="0"/>
        <v>2.8309168443496802</v>
      </c>
      <c r="E17" s="9">
        <f t="shared" si="1"/>
        <v>2091.1748781808337</v>
      </c>
      <c r="F17" s="11">
        <f t="shared" si="2"/>
        <v>1.5348057589238799</v>
      </c>
      <c r="G17" s="9">
        <v>0</v>
      </c>
      <c r="R17" s="2"/>
      <c r="S17" s="2" t="s">
        <v>8</v>
      </c>
      <c r="T17" s="4">
        <f t="shared" si="3"/>
        <v>2.8309168443496802</v>
      </c>
      <c r="U17" s="2" t="s">
        <v>3</v>
      </c>
      <c r="V17" s="2" t="s">
        <v>9</v>
      </c>
      <c r="W17" s="3">
        <f t="shared" si="4"/>
        <v>0</v>
      </c>
      <c r="X17" s="2" t="s">
        <v>4</v>
      </c>
      <c r="Y17" s="2" t="s">
        <v>8</v>
      </c>
      <c r="Z17" s="4">
        <f t="shared" si="5"/>
        <v>1.5348057589238799</v>
      </c>
      <c r="AA17" s="2" t="s">
        <v>3</v>
      </c>
      <c r="AB17" s="2" t="s">
        <v>9</v>
      </c>
      <c r="AC17" s="3">
        <f t="shared" si="6"/>
        <v>0</v>
      </c>
      <c r="AD17" s="2" t="s">
        <v>4</v>
      </c>
    </row>
    <row r="18" spans="1:30" x14ac:dyDescent="0.25">
      <c r="C18" s="9">
        <v>9034</v>
      </c>
      <c r="D18" s="10">
        <f t="shared" si="0"/>
        <v>2.9711181981263701</v>
      </c>
      <c r="E18" s="9">
        <f t="shared" si="1"/>
        <v>2362.988393003106</v>
      </c>
      <c r="F18" s="11">
        <f t="shared" si="2"/>
        <v>1.5941267973983297</v>
      </c>
      <c r="G18" s="9">
        <v>-10</v>
      </c>
      <c r="R18" s="2"/>
      <c r="S18" s="2" t="s">
        <v>8</v>
      </c>
      <c r="T18" s="4">
        <f t="shared" si="3"/>
        <v>2.9711181981263701</v>
      </c>
      <c r="U18" s="2" t="s">
        <v>3</v>
      </c>
      <c r="V18" s="2" t="s">
        <v>9</v>
      </c>
      <c r="W18" s="3">
        <f t="shared" si="4"/>
        <v>-10</v>
      </c>
      <c r="X18" s="2" t="s">
        <v>4</v>
      </c>
      <c r="Y18" s="2" t="s">
        <v>8</v>
      </c>
      <c r="Z18" s="4">
        <f t="shared" si="5"/>
        <v>1.5941267973983297</v>
      </c>
      <c r="AA18" s="2" t="s">
        <v>3</v>
      </c>
      <c r="AB18" s="2" t="s">
        <v>9</v>
      </c>
      <c r="AC18" s="3">
        <f t="shared" si="6"/>
        <v>-10</v>
      </c>
      <c r="AD18" s="2" t="s">
        <v>4</v>
      </c>
    </row>
    <row r="19" spans="1:30" x14ac:dyDescent="0.25">
      <c r="C19" s="9">
        <v>13636</v>
      </c>
      <c r="D19" s="10">
        <f t="shared" si="0"/>
        <v>3.0745285597157692</v>
      </c>
      <c r="E19" s="9">
        <f t="shared" si="1"/>
        <v>2591.7795200760274</v>
      </c>
      <c r="F19" s="11">
        <f t="shared" si="2"/>
        <v>1.6370993133921601</v>
      </c>
      <c r="G19" s="9">
        <v>-20</v>
      </c>
      <c r="R19" s="2"/>
      <c r="S19" s="2" t="s">
        <v>8</v>
      </c>
      <c r="T19" s="4">
        <f t="shared" si="3"/>
        <v>3.0745285597157692</v>
      </c>
      <c r="U19" s="2" t="s">
        <v>3</v>
      </c>
      <c r="V19" s="2" t="s">
        <v>9</v>
      </c>
      <c r="W19" s="3">
        <f t="shared" si="4"/>
        <v>-20</v>
      </c>
      <c r="X19" s="2" t="s">
        <v>4</v>
      </c>
      <c r="Y19" s="2" t="s">
        <v>8</v>
      </c>
      <c r="Z19" s="4">
        <f t="shared" si="5"/>
        <v>1.6370993133921601</v>
      </c>
      <c r="AA19" s="2" t="s">
        <v>3</v>
      </c>
      <c r="AB19" s="2" t="s">
        <v>9</v>
      </c>
      <c r="AC19" s="3">
        <f t="shared" si="6"/>
        <v>-20</v>
      </c>
      <c r="AD19" s="2" t="s">
        <v>4</v>
      </c>
    </row>
    <row r="20" spans="1:30" x14ac:dyDescent="0.25">
      <c r="C20" s="9">
        <v>20425</v>
      </c>
      <c r="D20" s="10">
        <f t="shared" si="0"/>
        <v>3.1459743290548423</v>
      </c>
      <c r="E20" s="9">
        <f t="shared" si="1"/>
        <v>2766.5608465608466</v>
      </c>
      <c r="F20" s="11">
        <f t="shared" si="2"/>
        <v>1.6664100691127717</v>
      </c>
      <c r="G20" s="9">
        <v>-30</v>
      </c>
      <c r="R20" s="2"/>
      <c r="S20" s="2" t="s">
        <v>8</v>
      </c>
      <c r="T20" s="4">
        <f t="shared" si="3"/>
        <v>3.1459743290548423</v>
      </c>
      <c r="U20" s="2" t="s">
        <v>3</v>
      </c>
      <c r="V20" s="2" t="s">
        <v>9</v>
      </c>
      <c r="W20" s="3">
        <f t="shared" si="4"/>
        <v>-30</v>
      </c>
      <c r="X20" s="2" t="s">
        <v>5</v>
      </c>
      <c r="Y20" s="2" t="s">
        <v>8</v>
      </c>
      <c r="Z20" s="4">
        <f t="shared" si="5"/>
        <v>1.6664100691127717</v>
      </c>
      <c r="AA20" s="2" t="s">
        <v>3</v>
      </c>
      <c r="AB20" s="2" t="s">
        <v>9</v>
      </c>
      <c r="AC20" s="3">
        <f t="shared" si="6"/>
        <v>-30</v>
      </c>
      <c r="AD20" s="2" t="s">
        <v>5</v>
      </c>
    </row>
    <row r="21" spans="1:30" x14ac:dyDescent="0.25">
      <c r="R21" s="2"/>
      <c r="S21" s="2" t="s">
        <v>7</v>
      </c>
      <c r="T21" s="4"/>
      <c r="U21" s="2"/>
      <c r="V21" s="2"/>
      <c r="W21" s="3"/>
      <c r="X21" s="2"/>
      <c r="Y21" s="2" t="s">
        <v>7</v>
      </c>
      <c r="Z21" s="4"/>
      <c r="AA21" s="2"/>
      <c r="AB21" s="2"/>
      <c r="AC21" s="3"/>
      <c r="AD21" s="2"/>
    </row>
    <row r="26" spans="1:30" x14ac:dyDescent="0.25">
      <c r="A26" s="6"/>
    </row>
    <row r="47" spans="20:27" x14ac:dyDescent="0.25">
      <c r="T47"/>
      <c r="U47">
        <v>71.900000000000006</v>
      </c>
      <c r="Z47"/>
      <c r="AA47">
        <v>71.900000000000006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C526-1F71-45D2-A827-A8EBCD61EAA8}">
  <dimension ref="A1:AD73"/>
  <sheetViews>
    <sheetView zoomScale="85" zoomScaleNormal="85" workbookViewId="0">
      <selection activeCell="G56" sqref="G56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4.42578125" style="1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3"/>
      <c r="X1" s="2"/>
      <c r="Y1" s="2" t="s">
        <v>17</v>
      </c>
      <c r="Z1" s="4"/>
      <c r="AA1" s="2"/>
      <c r="AB1" s="2"/>
      <c r="AC1" s="3"/>
      <c r="AD1" s="2"/>
    </row>
    <row r="2" spans="1:30" x14ac:dyDescent="0.25">
      <c r="A2">
        <v>1000</v>
      </c>
      <c r="B2">
        <v>3.3</v>
      </c>
      <c r="C2" s="9">
        <v>10.24</v>
      </c>
      <c r="D2" s="10">
        <f>($B$2*C2)/($A$2+C2)</f>
        <v>3.3449477351916376E-2</v>
      </c>
      <c r="E2" s="9">
        <f>C2*($A$6+$A$7)/(C2+$A$6+$A$7)</f>
        <v>10.207336523125997</v>
      </c>
      <c r="F2" s="11">
        <f>(($B$2*E2)/($B$6+E2))*$A$6/($A$6+$A$7)</f>
        <v>2.2923902747079256E-2</v>
      </c>
      <c r="G2" s="9">
        <v>180</v>
      </c>
      <c r="R2" s="2"/>
      <c r="S2" s="2" t="s">
        <v>8</v>
      </c>
      <c r="T2" s="4">
        <f>D2</f>
        <v>3.3449477351916376E-2</v>
      </c>
      <c r="U2" s="2" t="s">
        <v>3</v>
      </c>
      <c r="V2" s="2" t="s">
        <v>9</v>
      </c>
      <c r="W2" s="3">
        <f>G2</f>
        <v>180</v>
      </c>
      <c r="X2" s="2" t="s">
        <v>4</v>
      </c>
      <c r="Y2" s="2" t="s">
        <v>8</v>
      </c>
      <c r="Z2" s="4">
        <f>F2</f>
        <v>2.2923902747079256E-2</v>
      </c>
      <c r="AA2" s="2" t="s">
        <v>3</v>
      </c>
      <c r="AB2" s="2" t="s">
        <v>9</v>
      </c>
      <c r="AC2" s="3">
        <f>G2</f>
        <v>180</v>
      </c>
      <c r="AD2" s="2" t="s">
        <v>4</v>
      </c>
    </row>
    <row r="3" spans="1:30" x14ac:dyDescent="0.25">
      <c r="C3" s="9">
        <v>11.25</v>
      </c>
      <c r="D3" s="10">
        <f t="shared" ref="D3:D46" si="0">($B$2*C3)/($A$2+C3)</f>
        <v>3.6711990111248455E-2</v>
      </c>
      <c r="E3" s="9">
        <f t="shared" ref="E3:E46" si="1">C3*($A$6+$A$7)/(C3+$A$6+$A$7)</f>
        <v>11.210587777345271</v>
      </c>
      <c r="F3" s="11">
        <f t="shared" ref="F3:F46" si="2">(($B$2*E3)/($B$6+E3))*$A$6/($A$6+$A$7)</f>
        <v>2.5152051736084379E-2</v>
      </c>
      <c r="G3" s="9">
        <v>175</v>
      </c>
      <c r="R3" s="2"/>
      <c r="S3" s="2" t="s">
        <v>8</v>
      </c>
      <c r="T3" s="4">
        <f t="shared" ref="T3:T46" si="3">D3</f>
        <v>3.6711990111248455E-2</v>
      </c>
      <c r="U3" s="2" t="s">
        <v>3</v>
      </c>
      <c r="V3" s="2" t="s">
        <v>9</v>
      </c>
      <c r="W3" s="3">
        <f t="shared" ref="W3:W36" si="4">G3</f>
        <v>175</v>
      </c>
      <c r="X3" s="2" t="s">
        <v>4</v>
      </c>
      <c r="Y3" s="2" t="s">
        <v>8</v>
      </c>
      <c r="Z3" s="4">
        <f t="shared" ref="Z3:Z46" si="5">F3</f>
        <v>2.5152051736084379E-2</v>
      </c>
      <c r="AA3" s="2" t="s">
        <v>3</v>
      </c>
      <c r="AB3" s="2" t="s">
        <v>9</v>
      </c>
      <c r="AC3" s="3">
        <f t="shared" ref="AC3:AC46" si="6">G3</f>
        <v>175</v>
      </c>
      <c r="AD3" s="2" t="s">
        <v>4</v>
      </c>
    </row>
    <row r="4" spans="1:30" x14ac:dyDescent="0.25">
      <c r="A4" t="s">
        <v>13</v>
      </c>
      <c r="C4" s="9">
        <v>12.38</v>
      </c>
      <c r="D4" s="10">
        <f t="shared" si="0"/>
        <v>4.0354412374799975E-2</v>
      </c>
      <c r="E4" s="9">
        <f t="shared" si="1"/>
        <v>12.33228945517031</v>
      </c>
      <c r="F4" s="11">
        <f t="shared" si="2"/>
        <v>2.7638041375204644E-2</v>
      </c>
      <c r="G4" s="9">
        <v>170</v>
      </c>
      <c r="R4" s="2"/>
      <c r="S4" s="2" t="s">
        <v>8</v>
      </c>
      <c r="T4" s="4">
        <f t="shared" si="3"/>
        <v>4.0354412374799975E-2</v>
      </c>
      <c r="U4" s="2" t="s">
        <v>3</v>
      </c>
      <c r="V4" s="2" t="s">
        <v>9</v>
      </c>
      <c r="W4" s="3">
        <f t="shared" si="4"/>
        <v>170</v>
      </c>
      <c r="X4" s="2" t="s">
        <v>4</v>
      </c>
      <c r="Y4" s="2" t="s">
        <v>8</v>
      </c>
      <c r="Z4" s="4">
        <f t="shared" si="5"/>
        <v>2.7638041375204644E-2</v>
      </c>
      <c r="AA4" s="2" t="s">
        <v>3</v>
      </c>
      <c r="AB4" s="2" t="s">
        <v>9</v>
      </c>
      <c r="AC4" s="3">
        <f t="shared" si="6"/>
        <v>170</v>
      </c>
      <c r="AD4" s="2" t="s">
        <v>4</v>
      </c>
    </row>
    <row r="5" spans="1:30" x14ac:dyDescent="0.25">
      <c r="A5" t="s">
        <v>11</v>
      </c>
      <c r="B5" t="s">
        <v>14</v>
      </c>
      <c r="C5" s="9">
        <v>13.66</v>
      </c>
      <c r="D5" s="10">
        <f t="shared" si="0"/>
        <v>4.447053252569895E-2</v>
      </c>
      <c r="E5" s="9">
        <f t="shared" si="1"/>
        <v>13.601936732572831</v>
      </c>
      <c r="F5" s="11">
        <f t="shared" si="2"/>
        <v>3.0445279200533436E-2</v>
      </c>
      <c r="G5" s="9">
        <v>165</v>
      </c>
      <c r="R5" s="2"/>
      <c r="S5" s="2" t="s">
        <v>8</v>
      </c>
      <c r="T5" s="4">
        <f t="shared" si="3"/>
        <v>4.447053252569895E-2</v>
      </c>
      <c r="U5" s="2" t="s">
        <v>3</v>
      </c>
      <c r="V5" s="2" t="s">
        <v>9</v>
      </c>
      <c r="W5" s="3">
        <f t="shared" si="4"/>
        <v>165</v>
      </c>
      <c r="X5" s="2" t="s">
        <v>4</v>
      </c>
      <c r="Y5" s="2" t="s">
        <v>8</v>
      </c>
      <c r="Z5" s="4">
        <f t="shared" si="5"/>
        <v>3.0445279200533436E-2</v>
      </c>
      <c r="AA5" s="2" t="s">
        <v>3</v>
      </c>
      <c r="AB5" s="2" t="s">
        <v>9</v>
      </c>
      <c r="AC5" s="3">
        <f t="shared" si="6"/>
        <v>165</v>
      </c>
      <c r="AD5" s="2" t="s">
        <v>4</v>
      </c>
    </row>
    <row r="6" spans="1:30" x14ac:dyDescent="0.25">
      <c r="A6">
        <v>2200</v>
      </c>
      <c r="B6">
        <v>1000</v>
      </c>
      <c r="C6" s="9">
        <v>15.11</v>
      </c>
      <c r="D6" s="10">
        <f t="shared" si="0"/>
        <v>4.9120784939563192E-2</v>
      </c>
      <c r="E6" s="9">
        <f t="shared" si="1"/>
        <v>15.038987779578303</v>
      </c>
      <c r="F6" s="11">
        <f t="shared" si="2"/>
        <v>3.361418027848953E-2</v>
      </c>
      <c r="G6" s="9">
        <v>160</v>
      </c>
      <c r="R6" s="2"/>
      <c r="S6" s="2" t="s">
        <v>8</v>
      </c>
      <c r="T6" s="4">
        <f t="shared" si="3"/>
        <v>4.9120784939563192E-2</v>
      </c>
      <c r="U6" s="2" t="s">
        <v>3</v>
      </c>
      <c r="V6" s="2" t="s">
        <v>9</v>
      </c>
      <c r="W6" s="3">
        <f t="shared" si="4"/>
        <v>160</v>
      </c>
      <c r="X6" s="2" t="s">
        <v>4</v>
      </c>
      <c r="Y6" s="2" t="s">
        <v>8</v>
      </c>
      <c r="Z6" s="4">
        <f t="shared" si="5"/>
        <v>3.361418027848953E-2</v>
      </c>
      <c r="AA6" s="2" t="s">
        <v>3</v>
      </c>
      <c r="AB6" s="2" t="s">
        <v>9</v>
      </c>
      <c r="AC6" s="3">
        <f t="shared" si="6"/>
        <v>160</v>
      </c>
      <c r="AD6" s="2" t="s">
        <v>4</v>
      </c>
    </row>
    <row r="7" spans="1:30" x14ac:dyDescent="0.25">
      <c r="A7">
        <v>1000</v>
      </c>
      <c r="C7" s="9">
        <v>16.739999999999998</v>
      </c>
      <c r="D7" s="10">
        <f t="shared" si="0"/>
        <v>5.4332474378897253E-2</v>
      </c>
      <c r="E7" s="9">
        <f t="shared" si="1"/>
        <v>16.652884597449592</v>
      </c>
      <c r="F7" s="11">
        <f t="shared" si="2"/>
        <v>3.7162371250658958E-2</v>
      </c>
      <c r="G7" s="9">
        <v>155</v>
      </c>
      <c r="R7" s="2"/>
      <c r="S7" s="2" t="s">
        <v>8</v>
      </c>
      <c r="T7" s="4">
        <f t="shared" si="3"/>
        <v>5.4332474378897253E-2</v>
      </c>
      <c r="U7" s="2" t="s">
        <v>3</v>
      </c>
      <c r="V7" s="2" t="s">
        <v>9</v>
      </c>
      <c r="W7" s="3">
        <f t="shared" si="4"/>
        <v>155</v>
      </c>
      <c r="X7" s="2" t="s">
        <v>4</v>
      </c>
      <c r="Y7" s="2" t="s">
        <v>8</v>
      </c>
      <c r="Z7" s="4">
        <f t="shared" si="5"/>
        <v>3.7162371250658958E-2</v>
      </c>
      <c r="AA7" s="2" t="s">
        <v>3</v>
      </c>
      <c r="AB7" s="2" t="s">
        <v>9</v>
      </c>
      <c r="AC7" s="3">
        <f t="shared" si="6"/>
        <v>155</v>
      </c>
      <c r="AD7" s="2" t="s">
        <v>4</v>
      </c>
    </row>
    <row r="8" spans="1:30" x14ac:dyDescent="0.25">
      <c r="C8" s="9">
        <v>18.59</v>
      </c>
      <c r="D8" s="10">
        <f t="shared" si="0"/>
        <v>6.0227373133449169E-2</v>
      </c>
      <c r="E8" s="9">
        <f t="shared" si="1"/>
        <v>18.482627485948814</v>
      </c>
      <c r="F8" s="11">
        <f t="shared" si="2"/>
        <v>4.1171503545675232E-2</v>
      </c>
      <c r="G8" s="9">
        <v>150</v>
      </c>
      <c r="R8" s="2"/>
      <c r="S8" s="2" t="s">
        <v>8</v>
      </c>
      <c r="T8" s="4">
        <f t="shared" si="3"/>
        <v>6.0227373133449169E-2</v>
      </c>
      <c r="U8" s="2" t="s">
        <v>3</v>
      </c>
      <c r="V8" s="2" t="s">
        <v>9</v>
      </c>
      <c r="W8" s="3">
        <f t="shared" si="4"/>
        <v>150</v>
      </c>
      <c r="X8" s="2" t="s">
        <v>4</v>
      </c>
      <c r="Y8" s="2" t="s">
        <v>8</v>
      </c>
      <c r="Z8" s="4">
        <f t="shared" si="5"/>
        <v>4.1171503545675232E-2</v>
      </c>
      <c r="AA8" s="2" t="s">
        <v>3</v>
      </c>
      <c r="AB8" s="2" t="s">
        <v>9</v>
      </c>
      <c r="AC8" s="3">
        <f t="shared" si="6"/>
        <v>150</v>
      </c>
      <c r="AD8" s="2" t="s">
        <v>4</v>
      </c>
    </row>
    <row r="9" spans="1:30" x14ac:dyDescent="0.25">
      <c r="C9" s="9">
        <v>20.66</v>
      </c>
      <c r="D9" s="10">
        <f t="shared" si="0"/>
        <v>6.6797954264887424E-2</v>
      </c>
      <c r="E9" s="9">
        <f t="shared" si="1"/>
        <v>20.527469524879994</v>
      </c>
      <c r="F9" s="11">
        <f t="shared" si="2"/>
        <v>4.5634926913092844E-2</v>
      </c>
      <c r="G9" s="9">
        <v>145</v>
      </c>
      <c r="R9" s="2"/>
      <c r="S9" s="2" t="s">
        <v>8</v>
      </c>
      <c r="T9" s="4">
        <f t="shared" si="3"/>
        <v>6.6797954264887424E-2</v>
      </c>
      <c r="U9" s="2" t="s">
        <v>3</v>
      </c>
      <c r="V9" s="2" t="s">
        <v>9</v>
      </c>
      <c r="W9" s="3">
        <f t="shared" si="4"/>
        <v>145</v>
      </c>
      <c r="X9" s="2" t="s">
        <v>4</v>
      </c>
      <c r="Y9" s="2" t="s">
        <v>8</v>
      </c>
      <c r="Z9" s="4">
        <f t="shared" si="5"/>
        <v>4.5634926913092844E-2</v>
      </c>
      <c r="AA9" s="2" t="s">
        <v>3</v>
      </c>
      <c r="AB9" s="2" t="s">
        <v>9</v>
      </c>
      <c r="AC9" s="3">
        <f t="shared" si="6"/>
        <v>145</v>
      </c>
      <c r="AD9" s="2" t="s">
        <v>4</v>
      </c>
    </row>
    <row r="10" spans="1:30" x14ac:dyDescent="0.25">
      <c r="C10" s="9">
        <v>23</v>
      </c>
      <c r="D10" s="10">
        <f t="shared" si="0"/>
        <v>7.4193548387096769E-2</v>
      </c>
      <c r="E10" s="9">
        <f t="shared" si="1"/>
        <v>22.835867204467888</v>
      </c>
      <c r="F10" s="11">
        <f t="shared" si="2"/>
        <v>5.0652187101862527E-2</v>
      </c>
      <c r="G10" s="9">
        <v>140</v>
      </c>
      <c r="R10" s="2"/>
      <c r="S10" s="2" t="s">
        <v>8</v>
      </c>
      <c r="T10" s="4">
        <f t="shared" si="3"/>
        <v>7.4193548387096769E-2</v>
      </c>
      <c r="U10" s="2" t="s">
        <v>3</v>
      </c>
      <c r="V10" s="2" t="s">
        <v>9</v>
      </c>
      <c r="W10" s="3">
        <f t="shared" si="4"/>
        <v>140</v>
      </c>
      <c r="X10" s="2" t="s">
        <v>4</v>
      </c>
      <c r="Y10" s="2" t="s">
        <v>8</v>
      </c>
      <c r="Z10" s="4">
        <f t="shared" si="5"/>
        <v>5.0652187101862527E-2</v>
      </c>
      <c r="AA10" s="2" t="s">
        <v>3</v>
      </c>
      <c r="AB10" s="2" t="s">
        <v>9</v>
      </c>
      <c r="AC10" s="3">
        <f t="shared" si="6"/>
        <v>140</v>
      </c>
      <c r="AD10" s="2" t="s">
        <v>4</v>
      </c>
    </row>
    <row r="11" spans="1:30" x14ac:dyDescent="0.25">
      <c r="C11" s="9">
        <v>25.7</v>
      </c>
      <c r="D11" s="10">
        <f t="shared" si="0"/>
        <v>8.2684995612752249E-2</v>
      </c>
      <c r="E11" s="9">
        <f t="shared" si="1"/>
        <v>25.49524134296432</v>
      </c>
      <c r="F11" s="11">
        <f t="shared" si="2"/>
        <v>5.6404287864955223E-2</v>
      </c>
      <c r="G11" s="9">
        <v>135</v>
      </c>
      <c r="R11" s="2"/>
      <c r="S11" s="2" t="s">
        <v>8</v>
      </c>
      <c r="T11" s="4">
        <f t="shared" si="3"/>
        <v>8.2684995612752249E-2</v>
      </c>
      <c r="U11" s="2" t="s">
        <v>3</v>
      </c>
      <c r="V11" s="2" t="s">
        <v>9</v>
      </c>
      <c r="W11" s="3">
        <f t="shared" si="4"/>
        <v>135</v>
      </c>
      <c r="X11" s="2" t="s">
        <v>4</v>
      </c>
      <c r="Y11" s="2" t="s">
        <v>8</v>
      </c>
      <c r="Z11" s="4">
        <f t="shared" si="5"/>
        <v>5.6404287864955223E-2</v>
      </c>
      <c r="AA11" s="2" t="s">
        <v>3</v>
      </c>
      <c r="AB11" s="2" t="s">
        <v>9</v>
      </c>
      <c r="AC11" s="3">
        <f t="shared" si="6"/>
        <v>135</v>
      </c>
      <c r="AD11" s="2" t="s">
        <v>4</v>
      </c>
    </row>
    <row r="12" spans="1:30" x14ac:dyDescent="0.25">
      <c r="C12" s="9">
        <v>28.81</v>
      </c>
      <c r="D12" s="10">
        <f t="shared" si="0"/>
        <v>9.241064919664467E-2</v>
      </c>
      <c r="E12" s="9">
        <f t="shared" si="1"/>
        <v>28.552934362814785</v>
      </c>
      <c r="F12" s="11">
        <f t="shared" si="2"/>
        <v>6.2981172549730471E-2</v>
      </c>
      <c r="G12" s="9">
        <v>130</v>
      </c>
      <c r="R12" s="2"/>
      <c r="S12" s="2" t="s">
        <v>8</v>
      </c>
      <c r="T12" s="4">
        <f t="shared" si="3"/>
        <v>9.241064919664467E-2</v>
      </c>
      <c r="U12" s="2" t="s">
        <v>3</v>
      </c>
      <c r="V12" s="2" t="s">
        <v>9</v>
      </c>
      <c r="W12" s="3">
        <f t="shared" si="4"/>
        <v>130</v>
      </c>
      <c r="X12" s="2" t="s">
        <v>4</v>
      </c>
      <c r="Y12" s="2" t="s">
        <v>8</v>
      </c>
      <c r="Z12" s="4">
        <f t="shared" si="5"/>
        <v>6.2981172549730471E-2</v>
      </c>
      <c r="AA12" s="2" t="s">
        <v>3</v>
      </c>
      <c r="AB12" s="2" t="s">
        <v>9</v>
      </c>
      <c r="AC12" s="3">
        <f t="shared" si="6"/>
        <v>130</v>
      </c>
      <c r="AD12" s="2" t="s">
        <v>4</v>
      </c>
    </row>
    <row r="13" spans="1:30" x14ac:dyDescent="0.25">
      <c r="C13" s="9">
        <v>32.380000000000003</v>
      </c>
      <c r="D13" s="10">
        <f t="shared" si="0"/>
        <v>0.10350258625699837</v>
      </c>
      <c r="E13" s="9">
        <f t="shared" si="1"/>
        <v>32.055637022874791</v>
      </c>
      <c r="F13" s="11">
        <f t="shared" si="2"/>
        <v>7.0467350680276597E-2</v>
      </c>
      <c r="G13" s="9">
        <v>125</v>
      </c>
      <c r="R13" s="2"/>
      <c r="S13" s="2" t="s">
        <v>8</v>
      </c>
      <c r="T13" s="4">
        <f t="shared" si="3"/>
        <v>0.10350258625699837</v>
      </c>
      <c r="U13" s="2" t="s">
        <v>3</v>
      </c>
      <c r="V13" s="2" t="s">
        <v>9</v>
      </c>
      <c r="W13" s="3">
        <f t="shared" si="4"/>
        <v>125</v>
      </c>
      <c r="X13" s="2" t="s">
        <v>4</v>
      </c>
      <c r="Y13" s="2" t="s">
        <v>8</v>
      </c>
      <c r="Z13" s="4">
        <f t="shared" si="5"/>
        <v>7.0467350680276597E-2</v>
      </c>
      <c r="AA13" s="2" t="s">
        <v>3</v>
      </c>
      <c r="AB13" s="2" t="s">
        <v>9</v>
      </c>
      <c r="AC13" s="3">
        <f t="shared" si="6"/>
        <v>125</v>
      </c>
      <c r="AD13" s="2" t="s">
        <v>4</v>
      </c>
    </row>
    <row r="14" spans="1:30" x14ac:dyDescent="0.25">
      <c r="C14" s="9">
        <v>36.51</v>
      </c>
      <c r="D14" s="10">
        <f t="shared" si="0"/>
        <v>0.11623911009059246</v>
      </c>
      <c r="E14" s="9">
        <f t="shared" si="1"/>
        <v>36.098142752532816</v>
      </c>
      <c r="F14" s="11">
        <f t="shared" si="2"/>
        <v>7.9044308632999549E-2</v>
      </c>
      <c r="G14" s="9">
        <v>120</v>
      </c>
      <c r="R14" s="2"/>
      <c r="S14" s="2" t="s">
        <v>8</v>
      </c>
      <c r="T14" s="4">
        <f t="shared" si="3"/>
        <v>0.11623911009059246</v>
      </c>
      <c r="U14" s="2" t="s">
        <v>3</v>
      </c>
      <c r="V14" s="2" t="s">
        <v>9</v>
      </c>
      <c r="W14" s="3">
        <f t="shared" si="4"/>
        <v>120</v>
      </c>
      <c r="X14" s="2" t="s">
        <v>4</v>
      </c>
      <c r="Y14" s="2" t="s">
        <v>8</v>
      </c>
      <c r="Z14" s="4">
        <f t="shared" si="5"/>
        <v>7.9044308632999549E-2</v>
      </c>
      <c r="AA14" s="2" t="s">
        <v>3</v>
      </c>
      <c r="AB14" s="2" t="s">
        <v>9</v>
      </c>
      <c r="AC14" s="3">
        <f t="shared" si="6"/>
        <v>120</v>
      </c>
      <c r="AD14" s="2" t="s">
        <v>4</v>
      </c>
    </row>
    <row r="15" spans="1:30" x14ac:dyDescent="0.25">
      <c r="C15" s="9">
        <v>41.42</v>
      </c>
      <c r="D15" s="10">
        <f t="shared" si="0"/>
        <v>0.13124963991473182</v>
      </c>
      <c r="E15" s="9">
        <f t="shared" si="1"/>
        <v>40.890720733505688</v>
      </c>
      <c r="F15" s="11">
        <f t="shared" si="2"/>
        <v>8.9126380720126241E-2</v>
      </c>
      <c r="G15" s="9">
        <v>115</v>
      </c>
      <c r="R15" s="2"/>
      <c r="S15" s="2" t="s">
        <v>8</v>
      </c>
      <c r="T15" s="4">
        <f t="shared" si="3"/>
        <v>0.13124963991473182</v>
      </c>
      <c r="U15" s="2" t="s">
        <v>3</v>
      </c>
      <c r="V15" s="2" t="s">
        <v>9</v>
      </c>
      <c r="W15" s="3">
        <f t="shared" si="4"/>
        <v>115</v>
      </c>
      <c r="X15" s="2" t="s">
        <v>4</v>
      </c>
      <c r="Y15" s="2" t="s">
        <v>8</v>
      </c>
      <c r="Z15" s="4">
        <f t="shared" si="5"/>
        <v>8.9126380720126241E-2</v>
      </c>
      <c r="AA15" s="2" t="s">
        <v>3</v>
      </c>
      <c r="AB15" s="2" t="s">
        <v>9</v>
      </c>
      <c r="AC15" s="3">
        <f t="shared" si="6"/>
        <v>115</v>
      </c>
      <c r="AD15" s="2" t="s">
        <v>4</v>
      </c>
    </row>
    <row r="16" spans="1:30" x14ac:dyDescent="0.25">
      <c r="C16" s="9">
        <v>47.24</v>
      </c>
      <c r="D16" s="10">
        <f t="shared" si="0"/>
        <v>0.14885986020396469</v>
      </c>
      <c r="E16" s="9">
        <f t="shared" si="1"/>
        <v>46.552764809499763</v>
      </c>
      <c r="F16" s="11">
        <f t="shared" si="2"/>
        <v>0.10091854774353166</v>
      </c>
      <c r="G16" s="9">
        <v>110</v>
      </c>
      <c r="R16" s="2"/>
      <c r="S16" s="2" t="s">
        <v>8</v>
      </c>
      <c r="T16" s="4">
        <f t="shared" si="3"/>
        <v>0.14885986020396469</v>
      </c>
      <c r="U16" s="2" t="s">
        <v>3</v>
      </c>
      <c r="V16" s="2" t="s">
        <v>9</v>
      </c>
      <c r="W16" s="3">
        <f t="shared" si="4"/>
        <v>110</v>
      </c>
      <c r="X16" s="2" t="s">
        <v>4</v>
      </c>
      <c r="Y16" s="2" t="s">
        <v>8</v>
      </c>
      <c r="Z16" s="4">
        <f t="shared" si="5"/>
        <v>0.10091854774353166</v>
      </c>
      <c r="AA16" s="2" t="s">
        <v>3</v>
      </c>
      <c r="AB16" s="2" t="s">
        <v>9</v>
      </c>
      <c r="AC16" s="3">
        <f t="shared" si="6"/>
        <v>110</v>
      </c>
      <c r="AD16" s="2" t="s">
        <v>4</v>
      </c>
    </row>
    <row r="17" spans="3:30" x14ac:dyDescent="0.25">
      <c r="C17" s="9">
        <v>54</v>
      </c>
      <c r="D17" s="10">
        <f t="shared" si="0"/>
        <v>0.16907020872865275</v>
      </c>
      <c r="E17" s="9">
        <f t="shared" si="1"/>
        <v>53.103872157344803</v>
      </c>
      <c r="F17" s="11">
        <f t="shared" si="2"/>
        <v>0.11440410878954126</v>
      </c>
      <c r="G17" s="9">
        <v>105</v>
      </c>
      <c r="R17" s="2"/>
      <c r="S17" s="2" t="s">
        <v>8</v>
      </c>
      <c r="T17" s="4">
        <f t="shared" si="3"/>
        <v>0.16907020872865275</v>
      </c>
      <c r="U17" s="2" t="s">
        <v>3</v>
      </c>
      <c r="V17" s="2" t="s">
        <v>9</v>
      </c>
      <c r="W17" s="3">
        <f t="shared" si="4"/>
        <v>105</v>
      </c>
      <c r="X17" s="2" t="s">
        <v>4</v>
      </c>
      <c r="Y17" s="2" t="s">
        <v>8</v>
      </c>
      <c r="Z17" s="4">
        <f t="shared" si="5"/>
        <v>0.11440410878954126</v>
      </c>
      <c r="AA17" s="2" t="s">
        <v>3</v>
      </c>
      <c r="AB17" s="2" t="s">
        <v>9</v>
      </c>
      <c r="AC17" s="3">
        <f t="shared" si="6"/>
        <v>105</v>
      </c>
      <c r="AD17" s="2" t="s">
        <v>4</v>
      </c>
    </row>
    <row r="18" spans="3:30" x14ac:dyDescent="0.25">
      <c r="C18" s="9">
        <v>62</v>
      </c>
      <c r="D18" s="10">
        <f t="shared" si="0"/>
        <v>0.19265536723163842</v>
      </c>
      <c r="E18" s="9">
        <f t="shared" si="1"/>
        <v>60.821581851624771</v>
      </c>
      <c r="F18" s="11">
        <f t="shared" si="2"/>
        <v>0.13007744769390819</v>
      </c>
      <c r="G18" s="9">
        <v>100</v>
      </c>
      <c r="R18" s="2"/>
      <c r="S18" s="2" t="s">
        <v>8</v>
      </c>
      <c r="T18" s="4">
        <f t="shared" si="3"/>
        <v>0.19265536723163842</v>
      </c>
      <c r="U18" s="2" t="s">
        <v>3</v>
      </c>
      <c r="V18" s="2" t="s">
        <v>9</v>
      </c>
      <c r="W18" s="3">
        <f t="shared" si="4"/>
        <v>100</v>
      </c>
      <c r="X18" s="2" t="s">
        <v>4</v>
      </c>
      <c r="Y18" s="2" t="s">
        <v>8</v>
      </c>
      <c r="Z18" s="4">
        <f t="shared" si="5"/>
        <v>0.13007744769390819</v>
      </c>
      <c r="AA18" s="2" t="s">
        <v>3</v>
      </c>
      <c r="AB18" s="2" t="s">
        <v>9</v>
      </c>
      <c r="AC18" s="3">
        <f t="shared" si="6"/>
        <v>100</v>
      </c>
      <c r="AD18" s="2" t="s">
        <v>4</v>
      </c>
    </row>
    <row r="19" spans="3:30" x14ac:dyDescent="0.25">
      <c r="C19" s="9">
        <v>71</v>
      </c>
      <c r="D19" s="10">
        <f t="shared" si="0"/>
        <v>0.21876750700280109</v>
      </c>
      <c r="E19" s="9">
        <f t="shared" si="1"/>
        <v>69.458881076123504</v>
      </c>
      <c r="F19" s="11">
        <f t="shared" si="2"/>
        <v>0.147350065748099</v>
      </c>
      <c r="G19" s="9">
        <v>95</v>
      </c>
      <c r="R19" s="2"/>
      <c r="S19" s="2" t="s">
        <v>8</v>
      </c>
      <c r="T19" s="4">
        <f t="shared" si="3"/>
        <v>0.21876750700280109</v>
      </c>
      <c r="U19" s="2" t="s">
        <v>3</v>
      </c>
      <c r="V19" s="2" t="s">
        <v>9</v>
      </c>
      <c r="W19" s="3">
        <f t="shared" si="4"/>
        <v>95</v>
      </c>
      <c r="X19" s="2" t="s">
        <v>4</v>
      </c>
      <c r="Y19" s="2" t="s">
        <v>8</v>
      </c>
      <c r="Z19" s="4">
        <f t="shared" si="5"/>
        <v>0.147350065748099</v>
      </c>
      <c r="AA19" s="2" t="s">
        <v>3</v>
      </c>
      <c r="AB19" s="2" t="s">
        <v>9</v>
      </c>
      <c r="AC19" s="3">
        <f t="shared" si="6"/>
        <v>95</v>
      </c>
      <c r="AD19" s="2" t="s">
        <v>4</v>
      </c>
    </row>
    <row r="20" spans="3:30" x14ac:dyDescent="0.25">
      <c r="C20" s="9">
        <v>82</v>
      </c>
      <c r="D20" s="10">
        <f t="shared" si="0"/>
        <v>0.25009242144177446</v>
      </c>
      <c r="E20" s="9">
        <f t="shared" si="1"/>
        <v>79.951249238269341</v>
      </c>
      <c r="F20" s="11">
        <f t="shared" si="2"/>
        <v>0.16796072678027307</v>
      </c>
      <c r="G20" s="9">
        <v>90</v>
      </c>
      <c r="R20" s="2"/>
      <c r="S20" s="2" t="s">
        <v>8</v>
      </c>
      <c r="T20" s="4">
        <f t="shared" si="3"/>
        <v>0.25009242144177446</v>
      </c>
      <c r="U20" s="2" t="s">
        <v>3</v>
      </c>
      <c r="V20" s="2" t="s">
        <v>9</v>
      </c>
      <c r="W20" s="3">
        <f t="shared" si="4"/>
        <v>90</v>
      </c>
      <c r="X20" s="2" t="s">
        <v>4</v>
      </c>
      <c r="Y20" s="2" t="s">
        <v>8</v>
      </c>
      <c r="Z20" s="4">
        <f t="shared" si="5"/>
        <v>0.16796072678027307</v>
      </c>
      <c r="AA20" s="2" t="s">
        <v>3</v>
      </c>
      <c r="AB20" s="2" t="s">
        <v>9</v>
      </c>
      <c r="AC20" s="3">
        <f t="shared" si="6"/>
        <v>90</v>
      </c>
      <c r="AD20" s="2" t="s">
        <v>4</v>
      </c>
    </row>
    <row r="21" spans="3:30" x14ac:dyDescent="0.25">
      <c r="C21" s="9">
        <v>96</v>
      </c>
      <c r="D21" s="10">
        <f t="shared" si="0"/>
        <v>0.2890510948905109</v>
      </c>
      <c r="E21" s="9">
        <f t="shared" si="1"/>
        <v>93.203883495145632</v>
      </c>
      <c r="F21" s="11">
        <f t="shared" si="2"/>
        <v>0.19342806394316167</v>
      </c>
      <c r="G21" s="9">
        <v>85</v>
      </c>
      <c r="R21" s="2"/>
      <c r="S21" s="2" t="s">
        <v>8</v>
      </c>
      <c r="T21" s="4">
        <f t="shared" si="3"/>
        <v>0.2890510948905109</v>
      </c>
      <c r="U21" s="2" t="s">
        <v>3</v>
      </c>
      <c r="V21" s="2" t="s">
        <v>9</v>
      </c>
      <c r="W21" s="3">
        <f t="shared" si="4"/>
        <v>85</v>
      </c>
      <c r="X21" s="2" t="s">
        <v>4</v>
      </c>
      <c r="Y21" s="2" t="s">
        <v>8</v>
      </c>
      <c r="Z21" s="4">
        <f t="shared" si="5"/>
        <v>0.19342806394316167</v>
      </c>
      <c r="AA21" s="2" t="s">
        <v>3</v>
      </c>
      <c r="AB21" s="2" t="s">
        <v>9</v>
      </c>
      <c r="AC21" s="3">
        <f t="shared" si="6"/>
        <v>85</v>
      </c>
      <c r="AD21" s="2" t="s">
        <v>4</v>
      </c>
    </row>
    <row r="22" spans="3:30" x14ac:dyDescent="0.25">
      <c r="C22" s="9">
        <v>112</v>
      </c>
      <c r="D22" s="10">
        <f t="shared" si="0"/>
        <v>0.33237410071942441</v>
      </c>
      <c r="E22" s="9">
        <f t="shared" si="1"/>
        <v>108.21256038647343</v>
      </c>
      <c r="F22" s="11">
        <f t="shared" si="2"/>
        <v>0.22153443766346995</v>
      </c>
      <c r="G22" s="9">
        <v>80</v>
      </c>
      <c r="R22" s="2"/>
      <c r="S22" s="2" t="s">
        <v>8</v>
      </c>
      <c r="T22" s="4">
        <f t="shared" si="3"/>
        <v>0.33237410071942441</v>
      </c>
      <c r="U22" s="2" t="s">
        <v>3</v>
      </c>
      <c r="V22" s="2" t="s">
        <v>9</v>
      </c>
      <c r="W22" s="3">
        <f t="shared" si="4"/>
        <v>80</v>
      </c>
      <c r="X22" s="2" t="s">
        <v>4</v>
      </c>
      <c r="Y22" s="2" t="s">
        <v>8</v>
      </c>
      <c r="Z22" s="4">
        <f t="shared" si="5"/>
        <v>0.22153443766346995</v>
      </c>
      <c r="AA22" s="2" t="s">
        <v>3</v>
      </c>
      <c r="AB22" s="2" t="s">
        <v>9</v>
      </c>
      <c r="AC22" s="3">
        <f t="shared" si="6"/>
        <v>80</v>
      </c>
      <c r="AD22" s="2" t="s">
        <v>4</v>
      </c>
    </row>
    <row r="23" spans="3:30" x14ac:dyDescent="0.25">
      <c r="C23" s="9">
        <v>131</v>
      </c>
      <c r="D23" s="10">
        <f t="shared" si="0"/>
        <v>0.38222811671087531</v>
      </c>
      <c r="E23" s="9">
        <f t="shared" si="1"/>
        <v>125.8480936655659</v>
      </c>
      <c r="F23" s="11">
        <f t="shared" si="2"/>
        <v>0.25360247453469142</v>
      </c>
      <c r="G23" s="9">
        <v>75</v>
      </c>
      <c r="R23" s="2"/>
      <c r="S23" s="2" t="s">
        <v>8</v>
      </c>
      <c r="T23" s="4">
        <f t="shared" si="3"/>
        <v>0.38222811671087531</v>
      </c>
      <c r="U23" s="2" t="s">
        <v>3</v>
      </c>
      <c r="V23" s="2" t="s">
        <v>9</v>
      </c>
      <c r="W23" s="3">
        <f t="shared" si="4"/>
        <v>75</v>
      </c>
      <c r="X23" s="2" t="s">
        <v>4</v>
      </c>
      <c r="Y23" s="2" t="s">
        <v>8</v>
      </c>
      <c r="Z23" s="4">
        <f t="shared" si="5"/>
        <v>0.25360247453469142</v>
      </c>
      <c r="AA23" s="2" t="s">
        <v>3</v>
      </c>
      <c r="AB23" s="2" t="s">
        <v>9</v>
      </c>
      <c r="AC23" s="3">
        <f t="shared" si="6"/>
        <v>75</v>
      </c>
      <c r="AD23" s="2" t="s">
        <v>4</v>
      </c>
    </row>
    <row r="24" spans="3:30" x14ac:dyDescent="0.25">
      <c r="C24" s="9">
        <v>155</v>
      </c>
      <c r="D24" s="10">
        <f t="shared" si="0"/>
        <v>0.44285714285714284</v>
      </c>
      <c r="E24" s="9">
        <f t="shared" si="1"/>
        <v>147.83904619970193</v>
      </c>
      <c r="F24" s="11">
        <f t="shared" si="2"/>
        <v>0.2922098156323033</v>
      </c>
      <c r="G24" s="9">
        <v>70</v>
      </c>
      <c r="R24" s="2"/>
      <c r="S24" s="2" t="s">
        <v>8</v>
      </c>
      <c r="T24" s="4">
        <f t="shared" si="3"/>
        <v>0.44285714285714284</v>
      </c>
      <c r="U24" s="2" t="s">
        <v>3</v>
      </c>
      <c r="V24" s="2" t="s">
        <v>9</v>
      </c>
      <c r="W24" s="3">
        <f t="shared" si="4"/>
        <v>70</v>
      </c>
      <c r="X24" s="2" t="s">
        <v>4</v>
      </c>
      <c r="Y24" s="2" t="s">
        <v>8</v>
      </c>
      <c r="Z24" s="4">
        <f t="shared" si="5"/>
        <v>0.2922098156323033</v>
      </c>
      <c r="AA24" s="2" t="s">
        <v>3</v>
      </c>
      <c r="AB24" s="2" t="s">
        <v>9</v>
      </c>
      <c r="AC24" s="3">
        <f t="shared" si="6"/>
        <v>70</v>
      </c>
      <c r="AD24" s="2" t="s">
        <v>4</v>
      </c>
    </row>
    <row r="25" spans="3:30" x14ac:dyDescent="0.25">
      <c r="C25" s="9">
        <v>184</v>
      </c>
      <c r="D25" s="10">
        <f t="shared" si="0"/>
        <v>0.51283783783783776</v>
      </c>
      <c r="E25" s="9">
        <f t="shared" si="1"/>
        <v>173.9952718676123</v>
      </c>
      <c r="F25" s="11">
        <f t="shared" si="2"/>
        <v>0.33624647603705199</v>
      </c>
      <c r="G25" s="9">
        <v>65</v>
      </c>
      <c r="R25" s="2"/>
      <c r="S25" s="2" t="s">
        <v>8</v>
      </c>
      <c r="T25" s="4">
        <f t="shared" si="3"/>
        <v>0.51283783783783776</v>
      </c>
      <c r="U25" s="2" t="s">
        <v>3</v>
      </c>
      <c r="V25" s="2" t="s">
        <v>9</v>
      </c>
      <c r="W25" s="3">
        <f t="shared" si="4"/>
        <v>65</v>
      </c>
      <c r="X25" s="2" t="s">
        <v>4</v>
      </c>
      <c r="Y25" s="2" t="s">
        <v>8</v>
      </c>
      <c r="Z25" s="4">
        <f t="shared" si="5"/>
        <v>0.33624647603705199</v>
      </c>
      <c r="AA25" s="2" t="s">
        <v>3</v>
      </c>
      <c r="AB25" s="2" t="s">
        <v>9</v>
      </c>
      <c r="AC25" s="3">
        <f t="shared" si="6"/>
        <v>65</v>
      </c>
      <c r="AD25" s="2" t="s">
        <v>4</v>
      </c>
    </row>
    <row r="26" spans="3:30" x14ac:dyDescent="0.25">
      <c r="C26" s="9">
        <v>221</v>
      </c>
      <c r="D26" s="10">
        <f t="shared" si="0"/>
        <v>0.5972972972972973</v>
      </c>
      <c r="E26" s="9">
        <f t="shared" si="1"/>
        <v>206.72318035662087</v>
      </c>
      <c r="F26" s="11">
        <f t="shared" si="2"/>
        <v>0.38865849522794443</v>
      </c>
      <c r="G26" s="9">
        <v>60</v>
      </c>
      <c r="R26" s="2"/>
      <c r="S26" s="2" t="s">
        <v>8</v>
      </c>
      <c r="T26" s="4">
        <f t="shared" si="3"/>
        <v>0.5972972972972973</v>
      </c>
      <c r="U26" s="2" t="s">
        <v>3</v>
      </c>
      <c r="V26" s="2" t="s">
        <v>9</v>
      </c>
      <c r="W26" s="3">
        <f t="shared" si="4"/>
        <v>60</v>
      </c>
      <c r="X26" s="2" t="s">
        <v>4</v>
      </c>
      <c r="Y26" s="2" t="s">
        <v>8</v>
      </c>
      <c r="Z26" s="4">
        <f t="shared" si="5"/>
        <v>0.38865849522794443</v>
      </c>
      <c r="AA26" s="2" t="s">
        <v>3</v>
      </c>
      <c r="AB26" s="2" t="s">
        <v>9</v>
      </c>
      <c r="AC26" s="3">
        <f t="shared" si="6"/>
        <v>60</v>
      </c>
      <c r="AD26" s="2" t="s">
        <v>4</v>
      </c>
    </row>
    <row r="27" spans="3:30" x14ac:dyDescent="0.25">
      <c r="C27" s="9">
        <v>266</v>
      </c>
      <c r="D27" s="10">
        <f t="shared" si="0"/>
        <v>0.6933649289099526</v>
      </c>
      <c r="E27" s="9">
        <f t="shared" si="1"/>
        <v>245.58568955568379</v>
      </c>
      <c r="F27" s="11">
        <f t="shared" si="2"/>
        <v>0.44731770592050396</v>
      </c>
      <c r="G27" s="9">
        <v>55</v>
      </c>
      <c r="R27" s="2"/>
      <c r="S27" s="2" t="s">
        <v>8</v>
      </c>
      <c r="T27" s="4">
        <f t="shared" si="3"/>
        <v>0.6933649289099526</v>
      </c>
      <c r="U27" s="2" t="s">
        <v>3</v>
      </c>
      <c r="V27" s="2" t="s">
        <v>9</v>
      </c>
      <c r="W27" s="3">
        <f t="shared" si="4"/>
        <v>55</v>
      </c>
      <c r="X27" s="2" t="s">
        <v>4</v>
      </c>
      <c r="Y27" s="2" t="s">
        <v>8</v>
      </c>
      <c r="Z27" s="4">
        <f t="shared" si="5"/>
        <v>0.44731770592050396</v>
      </c>
      <c r="AA27" s="2" t="s">
        <v>3</v>
      </c>
      <c r="AB27" s="2" t="s">
        <v>9</v>
      </c>
      <c r="AC27" s="3">
        <f t="shared" si="6"/>
        <v>55</v>
      </c>
      <c r="AD27" s="2" t="s">
        <v>4</v>
      </c>
    </row>
    <row r="28" spans="3:30" x14ac:dyDescent="0.25">
      <c r="C28" s="9">
        <v>322</v>
      </c>
      <c r="D28" s="10">
        <f t="shared" si="0"/>
        <v>0.80378214826021177</v>
      </c>
      <c r="E28" s="9">
        <f t="shared" si="1"/>
        <v>292.56104486087452</v>
      </c>
      <c r="F28" s="11">
        <f t="shared" si="2"/>
        <v>0.51351375098848961</v>
      </c>
      <c r="G28" s="9">
        <v>50</v>
      </c>
      <c r="R28" s="2"/>
      <c r="S28" s="2" t="s">
        <v>8</v>
      </c>
      <c r="T28" s="4">
        <f>D28</f>
        <v>0.80378214826021177</v>
      </c>
      <c r="U28" s="2" t="s">
        <v>3</v>
      </c>
      <c r="V28" s="2" t="s">
        <v>9</v>
      </c>
      <c r="W28" s="3">
        <f t="shared" si="4"/>
        <v>50</v>
      </c>
      <c r="X28" s="2" t="s">
        <v>4</v>
      </c>
      <c r="Y28" s="2" t="s">
        <v>8</v>
      </c>
      <c r="Z28" s="4">
        <f t="shared" si="5"/>
        <v>0.51351375098848961</v>
      </c>
      <c r="AA28" s="2" t="s">
        <v>3</v>
      </c>
      <c r="AB28" s="2" t="s">
        <v>9</v>
      </c>
      <c r="AC28" s="3">
        <f t="shared" si="6"/>
        <v>50</v>
      </c>
      <c r="AD28" s="2" t="s">
        <v>4</v>
      </c>
    </row>
    <row r="29" spans="3:30" x14ac:dyDescent="0.25">
      <c r="C29" s="9">
        <v>392</v>
      </c>
      <c r="D29" s="10">
        <f t="shared" si="0"/>
        <v>0.92931034482758612</v>
      </c>
      <c r="E29" s="9">
        <f t="shared" si="1"/>
        <v>349.22048997772828</v>
      </c>
      <c r="F29" s="11">
        <f t="shared" si="2"/>
        <v>0.5872235061076263</v>
      </c>
      <c r="G29" s="9">
        <v>45</v>
      </c>
      <c r="R29" s="2"/>
      <c r="S29" s="2" t="s">
        <v>8</v>
      </c>
      <c r="T29" s="4">
        <f t="shared" si="3"/>
        <v>0.92931034482758612</v>
      </c>
      <c r="U29" s="2" t="s">
        <v>3</v>
      </c>
      <c r="V29" s="2" t="s">
        <v>9</v>
      </c>
      <c r="W29" s="3">
        <f t="shared" si="4"/>
        <v>45</v>
      </c>
      <c r="X29" s="2" t="s">
        <v>4</v>
      </c>
      <c r="Y29" s="2" t="s">
        <v>8</v>
      </c>
      <c r="Z29" s="4">
        <f t="shared" si="5"/>
        <v>0.5872235061076263</v>
      </c>
      <c r="AA29" s="2" t="s">
        <v>3</v>
      </c>
      <c r="AB29" s="2" t="s">
        <v>9</v>
      </c>
      <c r="AC29" s="3">
        <f t="shared" si="6"/>
        <v>45</v>
      </c>
      <c r="AD29" s="2" t="s">
        <v>4</v>
      </c>
    </row>
    <row r="30" spans="3:30" x14ac:dyDescent="0.25">
      <c r="C30" s="9">
        <v>481</v>
      </c>
      <c r="D30" s="10">
        <f t="shared" si="0"/>
        <v>1.0717758271438218</v>
      </c>
      <c r="E30" s="9">
        <f t="shared" si="1"/>
        <v>418.14724259712034</v>
      </c>
      <c r="F30" s="11">
        <f t="shared" si="2"/>
        <v>0.66895138117313513</v>
      </c>
      <c r="G30" s="9">
        <v>40</v>
      </c>
      <c r="R30" s="2"/>
      <c r="S30" s="2" t="s">
        <v>8</v>
      </c>
      <c r="T30" s="4">
        <f t="shared" si="3"/>
        <v>1.0717758271438218</v>
      </c>
      <c r="U30" s="2" t="s">
        <v>3</v>
      </c>
      <c r="V30" s="2" t="s">
        <v>9</v>
      </c>
      <c r="W30" s="3">
        <f t="shared" si="4"/>
        <v>40</v>
      </c>
      <c r="X30" s="2" t="s">
        <v>4</v>
      </c>
      <c r="Y30" s="2" t="s">
        <v>8</v>
      </c>
      <c r="Z30" s="4">
        <f t="shared" si="5"/>
        <v>0.66895138117313513</v>
      </c>
      <c r="AA30" s="2" t="s">
        <v>3</v>
      </c>
      <c r="AB30" s="2" t="s">
        <v>9</v>
      </c>
      <c r="AC30" s="3">
        <f t="shared" si="6"/>
        <v>40</v>
      </c>
      <c r="AD30" s="2" t="s">
        <v>4</v>
      </c>
    </row>
    <row r="31" spans="3:30" x14ac:dyDescent="0.25">
      <c r="C31" s="9">
        <v>594</v>
      </c>
      <c r="D31" s="10">
        <f t="shared" si="0"/>
        <v>1.2297365119196988</v>
      </c>
      <c r="E31" s="9">
        <f t="shared" si="1"/>
        <v>501.00158144438586</v>
      </c>
      <c r="F31" s="11">
        <f t="shared" si="2"/>
        <v>0.75725925405633188</v>
      </c>
      <c r="G31" s="9">
        <v>35</v>
      </c>
      <c r="R31" s="2"/>
      <c r="S31" s="2" t="s">
        <v>8</v>
      </c>
      <c r="T31" s="4">
        <f t="shared" si="3"/>
        <v>1.2297365119196988</v>
      </c>
      <c r="U31" s="2" t="s">
        <v>3</v>
      </c>
      <c r="V31" s="2" t="s">
        <v>9</v>
      </c>
      <c r="W31" s="3">
        <f t="shared" si="4"/>
        <v>35</v>
      </c>
      <c r="X31" s="2" t="s">
        <v>4</v>
      </c>
      <c r="Y31" s="2" t="s">
        <v>8</v>
      </c>
      <c r="Z31" s="4">
        <f t="shared" si="5"/>
        <v>0.75725925405633188</v>
      </c>
      <c r="AA31" s="2" t="s">
        <v>3</v>
      </c>
      <c r="AB31" s="2" t="s">
        <v>9</v>
      </c>
      <c r="AC31" s="3">
        <f t="shared" si="6"/>
        <v>35</v>
      </c>
      <c r="AD31" s="2" t="s">
        <v>4</v>
      </c>
    </row>
    <row r="32" spans="3:30" x14ac:dyDescent="0.25">
      <c r="C32" s="9">
        <v>739</v>
      </c>
      <c r="D32" s="10">
        <f t="shared" si="0"/>
        <v>1.4023576768257617</v>
      </c>
      <c r="E32" s="9">
        <f t="shared" si="1"/>
        <v>600.35542015740032</v>
      </c>
      <c r="F32" s="11">
        <f t="shared" si="2"/>
        <v>0.85109616421840784</v>
      </c>
      <c r="G32" s="9">
        <v>30</v>
      </c>
      <c r="R32" s="2"/>
      <c r="S32" s="2" t="s">
        <v>8</v>
      </c>
      <c r="T32" s="4">
        <f t="shared" si="3"/>
        <v>1.4023576768257617</v>
      </c>
      <c r="U32" s="2" t="s">
        <v>3</v>
      </c>
      <c r="V32" s="2" t="s">
        <v>9</v>
      </c>
      <c r="W32" s="3">
        <f t="shared" si="4"/>
        <v>30</v>
      </c>
      <c r="X32" s="2" t="s">
        <v>4</v>
      </c>
      <c r="Y32" s="2" t="s">
        <v>8</v>
      </c>
      <c r="Z32" s="4">
        <f t="shared" si="5"/>
        <v>0.85109616421840784</v>
      </c>
      <c r="AA32" s="2" t="s">
        <v>3</v>
      </c>
      <c r="AB32" s="2" t="s">
        <v>9</v>
      </c>
      <c r="AC32" s="3">
        <f t="shared" si="6"/>
        <v>30</v>
      </c>
      <c r="AD32" s="2" t="s">
        <v>4</v>
      </c>
    </row>
    <row r="33" spans="1:30" x14ac:dyDescent="0.25">
      <c r="C33" s="9">
        <v>925</v>
      </c>
      <c r="D33" s="10">
        <f t="shared" si="0"/>
        <v>1.5857142857142856</v>
      </c>
      <c r="E33" s="9">
        <f t="shared" si="1"/>
        <v>717.57575757575762</v>
      </c>
      <c r="F33" s="11">
        <f t="shared" si="2"/>
        <v>0.94784756527875802</v>
      </c>
      <c r="G33" s="9">
        <v>25</v>
      </c>
      <c r="R33" s="2"/>
      <c r="S33" s="2" t="s">
        <v>8</v>
      </c>
      <c r="T33" s="4">
        <f t="shared" si="3"/>
        <v>1.5857142857142856</v>
      </c>
      <c r="U33" s="2" t="s">
        <v>3</v>
      </c>
      <c r="V33" s="2" t="s">
        <v>9</v>
      </c>
      <c r="W33" s="3">
        <f t="shared" si="4"/>
        <v>25</v>
      </c>
      <c r="X33" s="2" t="s">
        <v>4</v>
      </c>
      <c r="Y33" s="2" t="s">
        <v>8</v>
      </c>
      <c r="Z33" s="4">
        <f t="shared" si="5"/>
        <v>0.94784756527875802</v>
      </c>
      <c r="AA33" s="2" t="s">
        <v>3</v>
      </c>
      <c r="AB33" s="2" t="s">
        <v>9</v>
      </c>
      <c r="AC33" s="3">
        <f t="shared" si="6"/>
        <v>25</v>
      </c>
      <c r="AD33" s="2" t="s">
        <v>4</v>
      </c>
    </row>
    <row r="34" spans="1:30" x14ac:dyDescent="0.25">
      <c r="C34" s="9">
        <v>1158</v>
      </c>
      <c r="D34" s="10">
        <f t="shared" si="0"/>
        <v>1.7708063021316032</v>
      </c>
      <c r="E34" s="9">
        <f t="shared" si="1"/>
        <v>850.29830197338231</v>
      </c>
      <c r="F34" s="11">
        <f t="shared" si="2"/>
        <v>1.0425963589463763</v>
      </c>
      <c r="G34" s="9">
        <v>20</v>
      </c>
      <c r="R34" s="2"/>
      <c r="S34" s="2" t="s">
        <v>8</v>
      </c>
      <c r="T34" s="4">
        <f t="shared" si="3"/>
        <v>1.7708063021316032</v>
      </c>
      <c r="U34" s="2" t="s">
        <v>3</v>
      </c>
      <c r="V34" s="2" t="s">
        <v>9</v>
      </c>
      <c r="W34" s="3">
        <f t="shared" si="4"/>
        <v>20</v>
      </c>
      <c r="X34" s="2" t="s">
        <v>4</v>
      </c>
      <c r="Y34" s="2" t="s">
        <v>8</v>
      </c>
      <c r="Z34" s="4">
        <f t="shared" si="5"/>
        <v>1.0425963589463763</v>
      </c>
      <c r="AA34" s="2" t="s">
        <v>3</v>
      </c>
      <c r="AB34" s="2" t="s">
        <v>9</v>
      </c>
      <c r="AC34" s="3">
        <f t="shared" si="6"/>
        <v>20</v>
      </c>
      <c r="AD34" s="2" t="s">
        <v>4</v>
      </c>
    </row>
    <row r="35" spans="1:30" x14ac:dyDescent="0.25">
      <c r="C35" s="9">
        <v>1496</v>
      </c>
      <c r="D35" s="10">
        <f t="shared" si="0"/>
        <v>1.9778846153846155</v>
      </c>
      <c r="E35" s="9">
        <f t="shared" si="1"/>
        <v>1019.4207836456559</v>
      </c>
      <c r="F35" s="11">
        <f t="shared" si="2"/>
        <v>1.1452842922220348</v>
      </c>
      <c r="G35" s="9">
        <v>15</v>
      </c>
      <c r="R35" s="2"/>
      <c r="S35" s="2" t="s">
        <v>8</v>
      </c>
      <c r="T35" s="4">
        <f t="shared" si="3"/>
        <v>1.9778846153846155</v>
      </c>
      <c r="U35" s="2" t="s">
        <v>3</v>
      </c>
      <c r="V35" s="2" t="s">
        <v>9</v>
      </c>
      <c r="W35" s="3">
        <f t="shared" si="4"/>
        <v>15</v>
      </c>
      <c r="X35" s="2" t="s">
        <v>4</v>
      </c>
      <c r="Y35" s="2" t="s">
        <v>8</v>
      </c>
      <c r="Z35" s="4">
        <f t="shared" si="5"/>
        <v>1.1452842922220348</v>
      </c>
      <c r="AA35" s="2" t="s">
        <v>3</v>
      </c>
      <c r="AB35" s="2" t="s">
        <v>9</v>
      </c>
      <c r="AC35" s="3">
        <f t="shared" si="6"/>
        <v>15</v>
      </c>
      <c r="AD35" s="2" t="s">
        <v>4</v>
      </c>
    </row>
    <row r="36" spans="1:30" x14ac:dyDescent="0.25">
      <c r="C36" s="9">
        <v>1905</v>
      </c>
      <c r="D36" s="10">
        <f>($B$2*C36)/($A$2+C36)</f>
        <v>2.1640275387263337</v>
      </c>
      <c r="E36" s="9">
        <f t="shared" si="1"/>
        <v>1194.1234084231146</v>
      </c>
      <c r="F36" s="11">
        <f t="shared" si="2"/>
        <v>1.2347379698241228</v>
      </c>
      <c r="G36" s="9">
        <v>10</v>
      </c>
      <c r="R36" s="2"/>
      <c r="S36" s="2" t="s">
        <v>8</v>
      </c>
      <c r="T36" s="4">
        <f>D36</f>
        <v>2.1640275387263337</v>
      </c>
      <c r="U36" s="2" t="s">
        <v>3</v>
      </c>
      <c r="V36" s="2" t="s">
        <v>9</v>
      </c>
      <c r="W36" s="3">
        <f t="shared" si="4"/>
        <v>10</v>
      </c>
      <c r="X36" s="2" t="s">
        <v>4</v>
      </c>
      <c r="Y36" s="2" t="s">
        <v>8</v>
      </c>
      <c r="Z36" s="4">
        <f t="shared" ref="Z36" si="7">F36</f>
        <v>1.2347379698241228</v>
      </c>
      <c r="AA36" s="2" t="s">
        <v>3</v>
      </c>
      <c r="AB36" s="2" t="s">
        <v>9</v>
      </c>
      <c r="AC36" s="3">
        <f t="shared" ref="AC36" si="8">G36</f>
        <v>10</v>
      </c>
      <c r="AD36" s="2" t="s">
        <v>4</v>
      </c>
    </row>
    <row r="37" spans="1:30" x14ac:dyDescent="0.25">
      <c r="C37" s="9">
        <v>2473</v>
      </c>
      <c r="D37" s="10">
        <f t="shared" si="0"/>
        <v>2.3498128419234092</v>
      </c>
      <c r="E37" s="9">
        <f t="shared" si="1"/>
        <v>1394.9585757095012</v>
      </c>
      <c r="F37" s="11">
        <f t="shared" si="2"/>
        <v>1.3214476027850972</v>
      </c>
      <c r="G37" s="9">
        <v>5</v>
      </c>
      <c r="R37" s="2"/>
      <c r="S37" s="2" t="s">
        <v>8</v>
      </c>
      <c r="T37" s="4">
        <f t="shared" si="3"/>
        <v>2.3498128419234092</v>
      </c>
      <c r="U37" s="2" t="s">
        <v>3</v>
      </c>
      <c r="V37" s="2" t="s">
        <v>9</v>
      </c>
      <c r="W37" s="3">
        <f t="shared" ref="W37:W46" si="9">G37</f>
        <v>5</v>
      </c>
      <c r="X37" s="2" t="s">
        <v>4</v>
      </c>
      <c r="Y37" s="2" t="s">
        <v>8</v>
      </c>
      <c r="Z37" s="4">
        <f t="shared" si="5"/>
        <v>1.3214476027850972</v>
      </c>
      <c r="AA37" s="2" t="s">
        <v>3</v>
      </c>
      <c r="AB37" s="2" t="s">
        <v>9</v>
      </c>
      <c r="AC37" s="3">
        <f t="shared" si="6"/>
        <v>5</v>
      </c>
      <c r="AD37" s="2" t="s">
        <v>4</v>
      </c>
    </row>
    <row r="38" spans="1:30" x14ac:dyDescent="0.25">
      <c r="C38" s="9">
        <v>3240</v>
      </c>
      <c r="D38" s="10">
        <f t="shared" si="0"/>
        <v>2.5216981132075471</v>
      </c>
      <c r="E38" s="9">
        <f t="shared" si="1"/>
        <v>1609.9378881987577</v>
      </c>
      <c r="F38" s="11">
        <f t="shared" si="2"/>
        <v>1.3994764397905757</v>
      </c>
      <c r="G38" s="9">
        <v>0</v>
      </c>
      <c r="R38" s="2"/>
      <c r="S38" s="2" t="s">
        <v>8</v>
      </c>
      <c r="T38" s="4">
        <f t="shared" si="3"/>
        <v>2.5216981132075471</v>
      </c>
      <c r="U38" s="2" t="s">
        <v>3</v>
      </c>
      <c r="V38" s="2" t="s">
        <v>9</v>
      </c>
      <c r="W38" s="3">
        <f t="shared" si="9"/>
        <v>0</v>
      </c>
      <c r="X38" s="2" t="s">
        <v>4</v>
      </c>
      <c r="Y38" s="2" t="s">
        <v>8</v>
      </c>
      <c r="Z38" s="4">
        <f t="shared" si="5"/>
        <v>1.3994764397905757</v>
      </c>
      <c r="AA38" s="2" t="s">
        <v>3</v>
      </c>
      <c r="AB38" s="2" t="s">
        <v>9</v>
      </c>
      <c r="AC38" s="3">
        <f t="shared" si="6"/>
        <v>0</v>
      </c>
      <c r="AD38" s="2" t="s">
        <v>4</v>
      </c>
    </row>
    <row r="39" spans="1:30" x14ac:dyDescent="0.25">
      <c r="C39" s="9">
        <v>4284</v>
      </c>
      <c r="D39" s="10">
        <f t="shared" si="0"/>
        <v>2.6754731264193792</v>
      </c>
      <c r="E39" s="9">
        <f t="shared" si="1"/>
        <v>1831.7477284874399</v>
      </c>
      <c r="F39" s="11">
        <f t="shared" si="2"/>
        <v>1.467566343286399</v>
      </c>
      <c r="G39" s="9">
        <v>-5</v>
      </c>
      <c r="R39" s="2"/>
      <c r="S39" s="2" t="s">
        <v>8</v>
      </c>
      <c r="T39" s="4">
        <f t="shared" si="3"/>
        <v>2.6754731264193792</v>
      </c>
      <c r="U39" s="2" t="s">
        <v>3</v>
      </c>
      <c r="V39" s="2" t="s">
        <v>9</v>
      </c>
      <c r="W39" s="3">
        <f t="shared" si="9"/>
        <v>-5</v>
      </c>
      <c r="X39" s="2" t="s">
        <v>4</v>
      </c>
      <c r="Y39" s="2" t="s">
        <v>8</v>
      </c>
      <c r="Z39" s="4">
        <f t="shared" si="5"/>
        <v>1.467566343286399</v>
      </c>
      <c r="AA39" s="2" t="s">
        <v>3</v>
      </c>
      <c r="AB39" s="2" t="s">
        <v>9</v>
      </c>
      <c r="AC39" s="3">
        <f t="shared" si="6"/>
        <v>-5</v>
      </c>
      <c r="AD39" s="2" t="s">
        <v>4</v>
      </c>
    </row>
    <row r="40" spans="1:30" x14ac:dyDescent="0.25">
      <c r="C40" s="9">
        <v>5720</v>
      </c>
      <c r="D40" s="10">
        <f t="shared" si="0"/>
        <v>2.8089285714285714</v>
      </c>
      <c r="E40" s="9">
        <f t="shared" si="1"/>
        <v>2052.0179372197308</v>
      </c>
      <c r="F40" s="11">
        <f t="shared" si="2"/>
        <v>1.525389362327358</v>
      </c>
      <c r="G40" s="9">
        <v>-10</v>
      </c>
      <c r="R40" s="2"/>
      <c r="S40" s="2" t="s">
        <v>8</v>
      </c>
      <c r="T40" s="4">
        <f t="shared" si="3"/>
        <v>2.8089285714285714</v>
      </c>
      <c r="U40" s="2" t="s">
        <v>3</v>
      </c>
      <c r="V40" s="2" t="s">
        <v>9</v>
      </c>
      <c r="W40" s="3">
        <f t="shared" si="9"/>
        <v>-10</v>
      </c>
      <c r="X40" s="2" t="s">
        <v>4</v>
      </c>
      <c r="Y40" s="2" t="s">
        <v>8</v>
      </c>
      <c r="Z40" s="4">
        <f t="shared" si="5"/>
        <v>1.525389362327358</v>
      </c>
      <c r="AA40" s="2" t="s">
        <v>3</v>
      </c>
      <c r="AB40" s="2" t="s">
        <v>9</v>
      </c>
      <c r="AC40" s="3">
        <f t="shared" si="6"/>
        <v>-10</v>
      </c>
      <c r="AD40" s="2" t="s">
        <v>4</v>
      </c>
    </row>
    <row r="41" spans="1:30" x14ac:dyDescent="0.25">
      <c r="C41" s="9">
        <v>7721</v>
      </c>
      <c r="D41" s="10">
        <f t="shared" si="0"/>
        <v>2.9216030271757827</v>
      </c>
      <c r="E41" s="9">
        <f t="shared" si="1"/>
        <v>2262.3569270213352</v>
      </c>
      <c r="F41" s="11">
        <f t="shared" si="2"/>
        <v>1.5733172037880103</v>
      </c>
      <c r="G41" s="9">
        <v>-15</v>
      </c>
      <c r="R41" s="2"/>
      <c r="S41" s="2" t="s">
        <v>8</v>
      </c>
      <c r="T41" s="4">
        <f t="shared" si="3"/>
        <v>2.9216030271757827</v>
      </c>
      <c r="U41" s="2" t="s">
        <v>3</v>
      </c>
      <c r="V41" s="2" t="s">
        <v>9</v>
      </c>
      <c r="W41" s="3">
        <f t="shared" si="9"/>
        <v>-15</v>
      </c>
      <c r="X41" s="2" t="s">
        <v>4</v>
      </c>
      <c r="Y41" s="2" t="s">
        <v>8</v>
      </c>
      <c r="Z41" s="4">
        <f t="shared" si="5"/>
        <v>1.5733172037880103</v>
      </c>
      <c r="AA41" s="2" t="s">
        <v>3</v>
      </c>
      <c r="AB41" s="2" t="s">
        <v>9</v>
      </c>
      <c r="AC41" s="3">
        <f t="shared" si="6"/>
        <v>-15</v>
      </c>
      <c r="AD41" s="2" t="s">
        <v>4</v>
      </c>
    </row>
    <row r="42" spans="1:30" x14ac:dyDescent="0.25">
      <c r="C42" s="9">
        <v>10540</v>
      </c>
      <c r="D42" s="10">
        <f t="shared" si="0"/>
        <v>3.0140381282495667</v>
      </c>
      <c r="E42" s="9">
        <f t="shared" si="1"/>
        <v>2454.7307132459969</v>
      </c>
      <c r="F42" s="11">
        <f t="shared" si="2"/>
        <v>1.6120417965787477</v>
      </c>
      <c r="G42" s="9">
        <v>-20</v>
      </c>
      <c r="R42" s="2"/>
      <c r="S42" s="2" t="s">
        <v>8</v>
      </c>
      <c r="T42" s="4">
        <f t="shared" si="3"/>
        <v>3.0140381282495667</v>
      </c>
      <c r="U42" s="2" t="s">
        <v>3</v>
      </c>
      <c r="V42" s="2" t="s">
        <v>9</v>
      </c>
      <c r="W42" s="3">
        <f t="shared" si="9"/>
        <v>-20</v>
      </c>
      <c r="X42" s="2" t="s">
        <v>4</v>
      </c>
      <c r="Y42" s="2" t="s">
        <v>8</v>
      </c>
      <c r="Z42" s="4">
        <f t="shared" si="5"/>
        <v>1.6120417965787477</v>
      </c>
      <c r="AA42" s="2" t="s">
        <v>3</v>
      </c>
      <c r="AB42" s="2" t="s">
        <v>9</v>
      </c>
      <c r="AC42" s="3">
        <f t="shared" si="6"/>
        <v>-20</v>
      </c>
      <c r="AD42" s="2" t="s">
        <v>4</v>
      </c>
    </row>
    <row r="43" spans="1:30" x14ac:dyDescent="0.25">
      <c r="C43" s="9">
        <v>14127</v>
      </c>
      <c r="D43" s="10">
        <f t="shared" si="0"/>
        <v>3.0818470284921</v>
      </c>
      <c r="E43" s="9">
        <f t="shared" si="1"/>
        <v>2609.0148323425865</v>
      </c>
      <c r="F43" s="11">
        <f t="shared" si="2"/>
        <v>1.6401158420939848</v>
      </c>
      <c r="G43" s="9">
        <v>-25</v>
      </c>
      <c r="R43" s="2"/>
      <c r="S43" s="2" t="s">
        <v>8</v>
      </c>
      <c r="T43" s="4">
        <f t="shared" si="3"/>
        <v>3.0818470284921</v>
      </c>
      <c r="U43" s="2" t="s">
        <v>3</v>
      </c>
      <c r="V43" s="2" t="s">
        <v>9</v>
      </c>
      <c r="W43" s="3">
        <f t="shared" si="9"/>
        <v>-25</v>
      </c>
      <c r="X43" s="2" t="s">
        <v>4</v>
      </c>
      <c r="Y43" s="2" t="s">
        <v>8</v>
      </c>
      <c r="Z43" s="4">
        <f t="shared" si="5"/>
        <v>1.6401158420939848</v>
      </c>
      <c r="AA43" s="2" t="s">
        <v>3</v>
      </c>
      <c r="AB43" s="2" t="s">
        <v>9</v>
      </c>
      <c r="AC43" s="3">
        <f t="shared" si="6"/>
        <v>-25</v>
      </c>
      <c r="AD43" s="2" t="s">
        <v>4</v>
      </c>
    </row>
    <row r="44" spans="1:30" x14ac:dyDescent="0.25">
      <c r="C44" s="9">
        <v>19149</v>
      </c>
      <c r="D44" s="10">
        <f t="shared" si="0"/>
        <v>3.1362201598094197</v>
      </c>
      <c r="E44" s="9">
        <f t="shared" si="1"/>
        <v>2741.8139514072218</v>
      </c>
      <c r="F44" s="11">
        <f t="shared" si="2"/>
        <v>1.6624264282075627</v>
      </c>
      <c r="G44" s="9">
        <v>-30</v>
      </c>
      <c r="R44" s="2"/>
      <c r="S44" s="2" t="s">
        <v>8</v>
      </c>
      <c r="T44" s="4">
        <f t="shared" si="3"/>
        <v>3.1362201598094197</v>
      </c>
      <c r="U44" s="2" t="s">
        <v>3</v>
      </c>
      <c r="V44" s="2" t="s">
        <v>9</v>
      </c>
      <c r="W44" s="3">
        <f t="shared" si="9"/>
        <v>-30</v>
      </c>
      <c r="X44" s="2" t="s">
        <v>4</v>
      </c>
      <c r="Y44" s="2" t="s">
        <v>8</v>
      </c>
      <c r="Z44" s="4">
        <f t="shared" si="5"/>
        <v>1.6624264282075627</v>
      </c>
      <c r="AA44" s="2" t="s">
        <v>3</v>
      </c>
      <c r="AB44" s="2" t="s">
        <v>9</v>
      </c>
      <c r="AC44" s="3">
        <f t="shared" si="6"/>
        <v>-30</v>
      </c>
      <c r="AD44" s="2" t="s">
        <v>4</v>
      </c>
    </row>
    <row r="45" spans="1:30" x14ac:dyDescent="0.25">
      <c r="C45" s="9">
        <v>26284</v>
      </c>
      <c r="D45" s="10">
        <f t="shared" si="0"/>
        <v>3.1790499926696962</v>
      </c>
      <c r="E45" s="9">
        <f t="shared" si="1"/>
        <v>2852.6929860263194</v>
      </c>
      <c r="F45" s="11">
        <f t="shared" si="2"/>
        <v>1.6798761893359437</v>
      </c>
      <c r="G45" s="9">
        <v>-35</v>
      </c>
      <c r="R45" s="2"/>
      <c r="S45" s="2" t="s">
        <v>8</v>
      </c>
      <c r="T45" s="4">
        <f t="shared" si="3"/>
        <v>3.1790499926696962</v>
      </c>
      <c r="U45" s="2" t="s">
        <v>3</v>
      </c>
      <c r="V45" s="2" t="s">
        <v>9</v>
      </c>
      <c r="W45" s="3">
        <f t="shared" si="9"/>
        <v>-35</v>
      </c>
      <c r="X45" s="2" t="s">
        <v>4</v>
      </c>
      <c r="Y45" s="2" t="s">
        <v>8</v>
      </c>
      <c r="Z45" s="4">
        <f t="shared" si="5"/>
        <v>1.6798761893359437</v>
      </c>
      <c r="AA45" s="2" t="s">
        <v>3</v>
      </c>
      <c r="AB45" s="2" t="s">
        <v>9</v>
      </c>
      <c r="AC45" s="3">
        <f t="shared" si="6"/>
        <v>-35</v>
      </c>
      <c r="AD45" s="2" t="s">
        <v>4</v>
      </c>
    </row>
    <row r="46" spans="1:30" x14ac:dyDescent="0.25">
      <c r="C46" s="9">
        <v>36563</v>
      </c>
      <c r="D46" s="10">
        <f t="shared" si="0"/>
        <v>3.2121475920453637</v>
      </c>
      <c r="E46" s="9">
        <f t="shared" si="1"/>
        <v>2942.4741593944118</v>
      </c>
      <c r="F46" s="11">
        <f t="shared" si="2"/>
        <v>1.6932864945274633</v>
      </c>
      <c r="G46" s="9">
        <v>-40</v>
      </c>
      <c r="R46" s="2"/>
      <c r="S46" s="2" t="s">
        <v>8</v>
      </c>
      <c r="T46" s="4">
        <f t="shared" si="3"/>
        <v>3.2121475920453637</v>
      </c>
      <c r="U46" s="2" t="s">
        <v>3</v>
      </c>
      <c r="V46" s="2" t="s">
        <v>9</v>
      </c>
      <c r="W46" s="3">
        <f t="shared" si="9"/>
        <v>-40</v>
      </c>
      <c r="X46" s="2" t="s">
        <v>5</v>
      </c>
      <c r="Y46" s="2" t="s">
        <v>8</v>
      </c>
      <c r="Z46" s="4">
        <f t="shared" si="5"/>
        <v>1.6932864945274633</v>
      </c>
      <c r="AA46" s="2" t="s">
        <v>3</v>
      </c>
      <c r="AB46" s="2" t="s">
        <v>9</v>
      </c>
      <c r="AC46" s="3">
        <f t="shared" si="6"/>
        <v>-40</v>
      </c>
      <c r="AD46" s="2" t="s">
        <v>5</v>
      </c>
    </row>
    <row r="47" spans="1:30" x14ac:dyDescent="0.25">
      <c r="R47" s="2"/>
      <c r="S47" s="2" t="s">
        <v>7</v>
      </c>
      <c r="T47" s="4"/>
      <c r="U47" s="2"/>
      <c r="V47" s="2"/>
      <c r="W47" s="3"/>
      <c r="X47" s="2"/>
      <c r="Y47" s="2" t="s">
        <v>7</v>
      </c>
      <c r="Z47" s="4"/>
      <c r="AA47" s="2"/>
      <c r="AB47" s="2"/>
      <c r="AC47" s="3"/>
      <c r="AD47" s="2"/>
    </row>
    <row r="48" spans="1:30" x14ac:dyDescent="0.25">
      <c r="A48" t="s">
        <v>18</v>
      </c>
    </row>
    <row r="49" spans="1:1" x14ac:dyDescent="0.25">
      <c r="A49" s="6" t="s">
        <v>20</v>
      </c>
    </row>
    <row r="73" spans="20:27" x14ac:dyDescent="0.25">
      <c r="T73"/>
      <c r="U73">
        <v>71.900000000000006</v>
      </c>
      <c r="Z73"/>
      <c r="AA73">
        <v>71.900000000000006</v>
      </c>
    </row>
  </sheetData>
  <hyperlinks>
    <hyperlink ref="A49" r:id="rId1" xr:uid="{0191A710-290C-4B3D-8040-19314042A83A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8ED0-64E0-4567-9D45-58470B79DF18}">
  <dimension ref="A1:AD67"/>
  <sheetViews>
    <sheetView zoomScale="85" zoomScaleNormal="85" workbookViewId="0">
      <selection activeCell="H58" sqref="H58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4.42578125" style="1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3"/>
      <c r="X1" s="2"/>
      <c r="Y1" s="2" t="s">
        <v>17</v>
      </c>
      <c r="Z1" s="4"/>
      <c r="AA1" s="2"/>
      <c r="AB1" s="2"/>
      <c r="AC1" s="3"/>
      <c r="AD1" s="2"/>
    </row>
    <row r="2" spans="1:30" x14ac:dyDescent="0.25">
      <c r="A2">
        <v>1000</v>
      </c>
      <c r="B2">
        <v>3.3</v>
      </c>
      <c r="C2" s="9">
        <v>10.96</v>
      </c>
      <c r="D2" s="10">
        <f t="shared" ref="D2:D39" si="0">($B$2*C2)/($A$2+C2)</f>
        <v>3.5775896177890322E-2</v>
      </c>
      <c r="E2" s="9">
        <f>C2*($A$6+$A$7)/(C2+$A$6+$A$7)</f>
        <v>10.92259012880883</v>
      </c>
      <c r="F2" s="11">
        <f>(($B$2*E2)/($B$6+E2))*$A$6/($A$6+$A$7)</f>
        <v>2.4512882189701147E-2</v>
      </c>
      <c r="G2" s="9">
        <v>150</v>
      </c>
      <c r="R2" s="2"/>
      <c r="S2" s="2" t="s">
        <v>8</v>
      </c>
      <c r="T2" s="4">
        <f>D2</f>
        <v>3.5775896177890322E-2</v>
      </c>
      <c r="U2" s="2" t="s">
        <v>3</v>
      </c>
      <c r="V2" s="2" t="s">
        <v>9</v>
      </c>
      <c r="W2" s="3">
        <f>G2</f>
        <v>150</v>
      </c>
      <c r="X2" s="2" t="s">
        <v>4</v>
      </c>
      <c r="Y2" s="2" t="s">
        <v>8</v>
      </c>
      <c r="Z2" s="4">
        <f>F2</f>
        <v>2.4512882189701147E-2</v>
      </c>
      <c r="AA2" s="2" t="s">
        <v>3</v>
      </c>
      <c r="AB2" s="2" t="s">
        <v>9</v>
      </c>
      <c r="AC2" s="3">
        <f>G2</f>
        <v>150</v>
      </c>
      <c r="AD2" s="2" t="s">
        <v>4</v>
      </c>
    </row>
    <row r="3" spans="1:30" x14ac:dyDescent="0.25">
      <c r="C3" s="9">
        <v>12.26</v>
      </c>
      <c r="D3" s="10">
        <f t="shared" si="0"/>
        <v>3.996799241301642E-2</v>
      </c>
      <c r="E3" s="9">
        <f t="shared" ref="E3:E40" si="1">C3*($A$6+$A$7)/(C3+$A$6+$A$7)</f>
        <v>12.213208146289528</v>
      </c>
      <c r="F3" s="11">
        <f t="shared" ref="F3:F40" si="2">(($B$2*E3)/($B$6+E3))*$A$6/($A$6+$A$7)</f>
        <v>2.7374386896846122E-2</v>
      </c>
      <c r="G3" s="9">
        <v>145</v>
      </c>
      <c r="R3" s="2"/>
      <c r="S3" s="2" t="s">
        <v>8</v>
      </c>
      <c r="T3" s="4">
        <f t="shared" ref="T3:T40" si="3">D3</f>
        <v>3.996799241301642E-2</v>
      </c>
      <c r="U3" s="2" t="s">
        <v>3</v>
      </c>
      <c r="V3" s="2" t="s">
        <v>9</v>
      </c>
      <c r="W3" s="3">
        <f t="shared" ref="W3:W40" si="4">G3</f>
        <v>145</v>
      </c>
      <c r="X3" s="2" t="s">
        <v>4</v>
      </c>
      <c r="Y3" s="2" t="s">
        <v>8</v>
      </c>
      <c r="Z3" s="4">
        <f t="shared" ref="Z3:Z40" si="5">F3</f>
        <v>2.7374386896846122E-2</v>
      </c>
      <c r="AA3" s="2" t="s">
        <v>3</v>
      </c>
      <c r="AB3" s="2" t="s">
        <v>9</v>
      </c>
      <c r="AC3" s="3">
        <f t="shared" ref="AC3:AC40" si="6">G3</f>
        <v>145</v>
      </c>
      <c r="AD3" s="2" t="s">
        <v>4</v>
      </c>
    </row>
    <row r="4" spans="1:30" x14ac:dyDescent="0.25">
      <c r="A4" t="s">
        <v>13</v>
      </c>
      <c r="C4" s="9">
        <v>13.75</v>
      </c>
      <c r="D4" s="10">
        <f t="shared" si="0"/>
        <v>4.4759556103575834E-2</v>
      </c>
      <c r="E4" s="9">
        <f t="shared" si="1"/>
        <v>13.691170750680669</v>
      </c>
      <c r="F4" s="11">
        <f t="shared" si="2"/>
        <v>3.0642314480853351E-2</v>
      </c>
      <c r="G4" s="9">
        <v>140</v>
      </c>
      <c r="R4" s="2"/>
      <c r="S4" s="2" t="s">
        <v>8</v>
      </c>
      <c r="T4" s="4">
        <f t="shared" si="3"/>
        <v>4.4759556103575834E-2</v>
      </c>
      <c r="U4" s="2" t="s">
        <v>3</v>
      </c>
      <c r="V4" s="2" t="s">
        <v>9</v>
      </c>
      <c r="W4" s="3">
        <f t="shared" si="4"/>
        <v>140</v>
      </c>
      <c r="X4" s="2" t="s">
        <v>4</v>
      </c>
      <c r="Y4" s="2" t="s">
        <v>8</v>
      </c>
      <c r="Z4" s="4">
        <f t="shared" si="5"/>
        <v>3.0642314480853351E-2</v>
      </c>
      <c r="AA4" s="2" t="s">
        <v>3</v>
      </c>
      <c r="AB4" s="2" t="s">
        <v>9</v>
      </c>
      <c r="AC4" s="3">
        <f t="shared" si="6"/>
        <v>140</v>
      </c>
      <c r="AD4" s="2" t="s">
        <v>4</v>
      </c>
    </row>
    <row r="5" spans="1:30" x14ac:dyDescent="0.25">
      <c r="A5" t="s">
        <v>11</v>
      </c>
      <c r="B5" t="s">
        <v>14</v>
      </c>
      <c r="C5" s="9">
        <v>15.46</v>
      </c>
      <c r="D5" s="10">
        <f t="shared" si="0"/>
        <v>5.0241269966320681E-2</v>
      </c>
      <c r="E5" s="9">
        <f t="shared" si="1"/>
        <v>15.385667991515989</v>
      </c>
      <c r="F5" s="11">
        <f t="shared" si="2"/>
        <v>3.4377316281012898E-2</v>
      </c>
      <c r="G5" s="9">
        <v>135</v>
      </c>
      <c r="R5" s="2"/>
      <c r="S5" s="2" t="s">
        <v>8</v>
      </c>
      <c r="T5" s="4">
        <f t="shared" si="3"/>
        <v>5.0241269966320681E-2</v>
      </c>
      <c r="U5" s="2" t="s">
        <v>3</v>
      </c>
      <c r="V5" s="2" t="s">
        <v>9</v>
      </c>
      <c r="W5" s="3">
        <f t="shared" si="4"/>
        <v>135</v>
      </c>
      <c r="X5" s="2" t="s">
        <v>4</v>
      </c>
      <c r="Y5" s="2" t="s">
        <v>8</v>
      </c>
      <c r="Z5" s="4">
        <f t="shared" si="5"/>
        <v>3.4377316281012898E-2</v>
      </c>
      <c r="AA5" s="2" t="s">
        <v>3</v>
      </c>
      <c r="AB5" s="2" t="s">
        <v>9</v>
      </c>
      <c r="AC5" s="3">
        <f t="shared" si="6"/>
        <v>135</v>
      </c>
      <c r="AD5" s="2" t="s">
        <v>4</v>
      </c>
    </row>
    <row r="6" spans="1:30" x14ac:dyDescent="0.25">
      <c r="A6">
        <v>2200</v>
      </c>
      <c r="B6">
        <v>1000</v>
      </c>
      <c r="C6" s="9">
        <v>17.440000000000001</v>
      </c>
      <c r="D6" s="10">
        <f t="shared" si="0"/>
        <v>5.6565497719767259E-2</v>
      </c>
      <c r="E6" s="9">
        <f t="shared" si="1"/>
        <v>17.34546720373962</v>
      </c>
      <c r="F6" s="11">
        <f t="shared" si="2"/>
        <v>3.8681578664372517E-2</v>
      </c>
      <c r="G6" s="9">
        <v>130</v>
      </c>
      <c r="R6" s="2"/>
      <c r="S6" s="2" t="s">
        <v>8</v>
      </c>
      <c r="T6" s="4">
        <f t="shared" si="3"/>
        <v>5.6565497719767259E-2</v>
      </c>
      <c r="U6" s="2" t="s">
        <v>3</v>
      </c>
      <c r="V6" s="2" t="s">
        <v>9</v>
      </c>
      <c r="W6" s="3">
        <f t="shared" si="4"/>
        <v>130</v>
      </c>
      <c r="X6" s="2" t="s">
        <v>4</v>
      </c>
      <c r="Y6" s="2" t="s">
        <v>8</v>
      </c>
      <c r="Z6" s="4">
        <f t="shared" si="5"/>
        <v>3.8681578664372517E-2</v>
      </c>
      <c r="AA6" s="2" t="s">
        <v>3</v>
      </c>
      <c r="AB6" s="2" t="s">
        <v>9</v>
      </c>
      <c r="AC6" s="3">
        <f t="shared" si="6"/>
        <v>130</v>
      </c>
      <c r="AD6" s="2" t="s">
        <v>4</v>
      </c>
    </row>
    <row r="7" spans="1:30" x14ac:dyDescent="0.25">
      <c r="A7">
        <v>1000</v>
      </c>
      <c r="C7" s="9">
        <v>19.75</v>
      </c>
      <c r="D7" s="10">
        <f t="shared" si="0"/>
        <v>6.391272370679088E-2</v>
      </c>
      <c r="E7" s="9">
        <f t="shared" si="1"/>
        <v>19.628853171830112</v>
      </c>
      <c r="F7" s="11">
        <f t="shared" si="2"/>
        <v>4.3675657564081094E-2</v>
      </c>
      <c r="G7" s="9">
        <v>125</v>
      </c>
      <c r="R7" s="2"/>
      <c r="S7" s="2" t="s">
        <v>8</v>
      </c>
      <c r="T7" s="4">
        <f t="shared" si="3"/>
        <v>6.391272370679088E-2</v>
      </c>
      <c r="U7" s="2" t="s">
        <v>3</v>
      </c>
      <c r="V7" s="2" t="s">
        <v>9</v>
      </c>
      <c r="W7" s="3">
        <f t="shared" si="4"/>
        <v>125</v>
      </c>
      <c r="X7" s="2" t="s">
        <v>4</v>
      </c>
      <c r="Y7" s="2" t="s">
        <v>8</v>
      </c>
      <c r="Z7" s="4">
        <f t="shared" si="5"/>
        <v>4.3675657564081094E-2</v>
      </c>
      <c r="AA7" s="2" t="s">
        <v>3</v>
      </c>
      <c r="AB7" s="2" t="s">
        <v>9</v>
      </c>
      <c r="AC7" s="3">
        <f t="shared" si="6"/>
        <v>125</v>
      </c>
      <c r="AD7" s="2" t="s">
        <v>4</v>
      </c>
    </row>
    <row r="8" spans="1:30" x14ac:dyDescent="0.25">
      <c r="C8" s="9">
        <v>22.44</v>
      </c>
      <c r="D8" s="10">
        <f t="shared" si="0"/>
        <v>7.2426743867610818E-2</v>
      </c>
      <c r="E8" s="9">
        <f t="shared" si="1"/>
        <v>22.283735306165514</v>
      </c>
      <c r="F8" s="11">
        <f t="shared" si="2"/>
        <v>4.9454200169507578E-2</v>
      </c>
      <c r="G8" s="9">
        <v>120</v>
      </c>
      <c r="R8" s="2"/>
      <c r="S8" s="2" t="s">
        <v>8</v>
      </c>
      <c r="T8" s="4">
        <f t="shared" si="3"/>
        <v>7.2426743867610818E-2</v>
      </c>
      <c r="U8" s="2" t="s">
        <v>3</v>
      </c>
      <c r="V8" s="2" t="s">
        <v>9</v>
      </c>
      <c r="W8" s="3">
        <f t="shared" si="4"/>
        <v>120</v>
      </c>
      <c r="X8" s="2" t="s">
        <v>4</v>
      </c>
      <c r="Y8" s="2" t="s">
        <v>8</v>
      </c>
      <c r="Z8" s="4">
        <f t="shared" si="5"/>
        <v>4.9454200169507578E-2</v>
      </c>
      <c r="AA8" s="2" t="s">
        <v>3</v>
      </c>
      <c r="AB8" s="2" t="s">
        <v>9</v>
      </c>
      <c r="AC8" s="3">
        <f t="shared" si="6"/>
        <v>120</v>
      </c>
      <c r="AD8" s="2" t="s">
        <v>4</v>
      </c>
    </row>
    <row r="9" spans="1:30" x14ac:dyDescent="0.25">
      <c r="C9" s="9">
        <v>25.53</v>
      </c>
      <c r="D9" s="10">
        <f t="shared" si="0"/>
        <v>8.2151667918052132E-2</v>
      </c>
      <c r="E9" s="9">
        <f t="shared" si="1"/>
        <v>25.327930603652732</v>
      </c>
      <c r="F9" s="11">
        <f t="shared" si="2"/>
        <v>5.604328219480615E-2</v>
      </c>
      <c r="G9" s="9">
        <v>115</v>
      </c>
      <c r="R9" s="2"/>
      <c r="S9" s="2" t="s">
        <v>8</v>
      </c>
      <c r="T9" s="4">
        <f t="shared" si="3"/>
        <v>8.2151667918052132E-2</v>
      </c>
      <c r="U9" s="2" t="s">
        <v>3</v>
      </c>
      <c r="V9" s="2" t="s">
        <v>9</v>
      </c>
      <c r="W9" s="3">
        <f t="shared" si="4"/>
        <v>115</v>
      </c>
      <c r="X9" s="2" t="s">
        <v>4</v>
      </c>
      <c r="Y9" s="2" t="s">
        <v>8</v>
      </c>
      <c r="Z9" s="4">
        <f t="shared" si="5"/>
        <v>5.604328219480615E-2</v>
      </c>
      <c r="AA9" s="2" t="s">
        <v>3</v>
      </c>
      <c r="AB9" s="2" t="s">
        <v>9</v>
      </c>
      <c r="AC9" s="3">
        <f t="shared" si="6"/>
        <v>115</v>
      </c>
      <c r="AD9" s="2" t="s">
        <v>4</v>
      </c>
    </row>
    <row r="10" spans="1:30" x14ac:dyDescent="0.25">
      <c r="C10" s="9">
        <v>29.12</v>
      </c>
      <c r="D10" s="10">
        <f t="shared" si="0"/>
        <v>9.3376865671641801E-2</v>
      </c>
      <c r="E10" s="9">
        <f t="shared" si="1"/>
        <v>28.857397681101972</v>
      </c>
      <c r="F10" s="11">
        <f t="shared" si="2"/>
        <v>6.3633911887653868E-2</v>
      </c>
      <c r="G10" s="9">
        <v>110</v>
      </c>
      <c r="R10" s="2"/>
      <c r="S10" s="2" t="s">
        <v>8</v>
      </c>
      <c r="T10" s="4">
        <f t="shared" si="3"/>
        <v>9.3376865671641801E-2</v>
      </c>
      <c r="U10" s="2" t="s">
        <v>3</v>
      </c>
      <c r="V10" s="2" t="s">
        <v>9</v>
      </c>
      <c r="W10" s="3">
        <f t="shared" si="4"/>
        <v>110</v>
      </c>
      <c r="X10" s="2" t="s">
        <v>4</v>
      </c>
      <c r="Y10" s="2" t="s">
        <v>8</v>
      </c>
      <c r="Z10" s="4">
        <f t="shared" si="5"/>
        <v>6.3633911887653868E-2</v>
      </c>
      <c r="AA10" s="2" t="s">
        <v>3</v>
      </c>
      <c r="AB10" s="2" t="s">
        <v>9</v>
      </c>
      <c r="AC10" s="3">
        <f t="shared" si="6"/>
        <v>110</v>
      </c>
      <c r="AD10" s="2" t="s">
        <v>4</v>
      </c>
    </row>
    <row r="11" spans="1:30" x14ac:dyDescent="0.25">
      <c r="C11" s="9">
        <v>33.4</v>
      </c>
      <c r="D11" s="10">
        <f t="shared" si="0"/>
        <v>0.10665763499129086</v>
      </c>
      <c r="E11" s="9">
        <f t="shared" si="1"/>
        <v>33.054988556936969</v>
      </c>
      <c r="F11" s="11">
        <f t="shared" si="2"/>
        <v>7.2593914282634994E-2</v>
      </c>
      <c r="G11" s="9">
        <v>105</v>
      </c>
      <c r="R11" s="2"/>
      <c r="S11" s="2" t="s">
        <v>8</v>
      </c>
      <c r="T11" s="4">
        <f t="shared" si="3"/>
        <v>0.10665763499129086</v>
      </c>
      <c r="U11" s="2" t="s">
        <v>3</v>
      </c>
      <c r="V11" s="2" t="s">
        <v>9</v>
      </c>
      <c r="W11" s="3">
        <f t="shared" si="4"/>
        <v>105</v>
      </c>
      <c r="X11" s="2" t="s">
        <v>4</v>
      </c>
      <c r="Y11" s="2" t="s">
        <v>8</v>
      </c>
      <c r="Z11" s="4">
        <f t="shared" si="5"/>
        <v>7.2593914282634994E-2</v>
      </c>
      <c r="AA11" s="2" t="s">
        <v>3</v>
      </c>
      <c r="AB11" s="2" t="s">
        <v>9</v>
      </c>
      <c r="AC11" s="3">
        <f t="shared" si="6"/>
        <v>105</v>
      </c>
      <c r="AD11" s="2" t="s">
        <v>4</v>
      </c>
    </row>
    <row r="12" spans="1:30" x14ac:dyDescent="0.25">
      <c r="C12" s="9">
        <v>38.47</v>
      </c>
      <c r="D12" s="10">
        <f t="shared" si="0"/>
        <v>0.12224811501535912</v>
      </c>
      <c r="E12" s="9">
        <f t="shared" si="1"/>
        <v>38.013012317545019</v>
      </c>
      <c r="F12" s="11">
        <f t="shared" si="2"/>
        <v>8.308375778727467E-2</v>
      </c>
      <c r="G12" s="9">
        <v>100</v>
      </c>
      <c r="R12" s="2"/>
      <c r="S12" s="2" t="s">
        <v>8</v>
      </c>
      <c r="T12" s="4">
        <f t="shared" si="3"/>
        <v>0.12224811501535912</v>
      </c>
      <c r="U12" s="2" t="s">
        <v>3</v>
      </c>
      <c r="V12" s="2" t="s">
        <v>9</v>
      </c>
      <c r="W12" s="3">
        <f t="shared" si="4"/>
        <v>100</v>
      </c>
      <c r="X12" s="2" t="s">
        <v>4</v>
      </c>
      <c r="Y12" s="2" t="s">
        <v>8</v>
      </c>
      <c r="Z12" s="4">
        <f t="shared" si="5"/>
        <v>8.308375778727467E-2</v>
      </c>
      <c r="AA12" s="2" t="s">
        <v>3</v>
      </c>
      <c r="AB12" s="2" t="s">
        <v>9</v>
      </c>
      <c r="AC12" s="3">
        <f t="shared" si="6"/>
        <v>100</v>
      </c>
      <c r="AD12" s="2" t="s">
        <v>4</v>
      </c>
    </row>
    <row r="13" spans="1:30" x14ac:dyDescent="0.25">
      <c r="C13" s="9">
        <v>44.32</v>
      </c>
      <c r="D13" s="10">
        <f t="shared" si="0"/>
        <v>0.14004902711812472</v>
      </c>
      <c r="E13" s="9">
        <f t="shared" si="1"/>
        <v>43.714553434926266</v>
      </c>
      <c r="F13" s="11">
        <f t="shared" si="2"/>
        <v>9.5023483939253583E-2</v>
      </c>
      <c r="G13" s="9">
        <v>95</v>
      </c>
      <c r="R13" s="2"/>
      <c r="S13" s="2" t="s">
        <v>8</v>
      </c>
      <c r="T13" s="4">
        <f t="shared" si="3"/>
        <v>0.14004902711812472</v>
      </c>
      <c r="U13" s="2" t="s">
        <v>3</v>
      </c>
      <c r="V13" s="2" t="s">
        <v>9</v>
      </c>
      <c r="W13" s="3">
        <f t="shared" si="4"/>
        <v>95</v>
      </c>
      <c r="X13" s="2" t="s">
        <v>4</v>
      </c>
      <c r="Y13" s="2" t="s">
        <v>8</v>
      </c>
      <c r="Z13" s="4">
        <f t="shared" si="5"/>
        <v>9.5023483939253583E-2</v>
      </c>
      <c r="AA13" s="2" t="s">
        <v>3</v>
      </c>
      <c r="AB13" s="2" t="s">
        <v>9</v>
      </c>
      <c r="AC13" s="3">
        <f t="shared" si="6"/>
        <v>95</v>
      </c>
      <c r="AD13" s="2" t="s">
        <v>4</v>
      </c>
    </row>
    <row r="14" spans="1:30" x14ac:dyDescent="0.25">
      <c r="C14" s="9">
        <v>51.21</v>
      </c>
      <c r="D14" s="10">
        <f t="shared" si="0"/>
        <v>0.16076045699717467</v>
      </c>
      <c r="E14" s="9">
        <f t="shared" si="1"/>
        <v>50.403388276979953</v>
      </c>
      <c r="F14" s="11">
        <f t="shared" si="2"/>
        <v>0.10886549722671372</v>
      </c>
      <c r="G14" s="9">
        <v>90</v>
      </c>
      <c r="R14" s="2"/>
      <c r="S14" s="2" t="s">
        <v>8</v>
      </c>
      <c r="T14" s="4">
        <f t="shared" si="3"/>
        <v>0.16076045699717467</v>
      </c>
      <c r="U14" s="2" t="s">
        <v>3</v>
      </c>
      <c r="V14" s="2" t="s">
        <v>9</v>
      </c>
      <c r="W14" s="3">
        <f t="shared" si="4"/>
        <v>90</v>
      </c>
      <c r="X14" s="2" t="s">
        <v>4</v>
      </c>
      <c r="Y14" s="2" t="s">
        <v>8</v>
      </c>
      <c r="Z14" s="4">
        <f t="shared" si="5"/>
        <v>0.10886549722671372</v>
      </c>
      <c r="AA14" s="2" t="s">
        <v>3</v>
      </c>
      <c r="AB14" s="2" t="s">
        <v>9</v>
      </c>
      <c r="AC14" s="3">
        <f t="shared" si="6"/>
        <v>90</v>
      </c>
      <c r="AD14" s="2" t="s">
        <v>4</v>
      </c>
    </row>
    <row r="15" spans="1:30" x14ac:dyDescent="0.25">
      <c r="C15" s="9">
        <v>59.73</v>
      </c>
      <c r="D15" s="10">
        <f t="shared" si="0"/>
        <v>0.18599926396346236</v>
      </c>
      <c r="E15" s="9">
        <f t="shared" si="1"/>
        <v>58.63553116362398</v>
      </c>
      <c r="F15" s="11">
        <f t="shared" si="2"/>
        <v>0.12566115288162449</v>
      </c>
      <c r="G15" s="9">
        <v>85</v>
      </c>
      <c r="R15" s="2"/>
      <c r="S15" s="2" t="s">
        <v>8</v>
      </c>
      <c r="T15" s="4">
        <f t="shared" si="3"/>
        <v>0.18599926396346236</v>
      </c>
      <c r="U15" s="2" t="s">
        <v>3</v>
      </c>
      <c r="V15" s="2" t="s">
        <v>9</v>
      </c>
      <c r="W15" s="3">
        <f t="shared" si="4"/>
        <v>85</v>
      </c>
      <c r="X15" s="2" t="s">
        <v>4</v>
      </c>
      <c r="Y15" s="2" t="s">
        <v>8</v>
      </c>
      <c r="Z15" s="4">
        <f t="shared" si="5"/>
        <v>0.12566115288162449</v>
      </c>
      <c r="AA15" s="2" t="s">
        <v>3</v>
      </c>
      <c r="AB15" s="2" t="s">
        <v>9</v>
      </c>
      <c r="AC15" s="3">
        <f t="shared" si="6"/>
        <v>85</v>
      </c>
      <c r="AD15" s="2" t="s">
        <v>4</v>
      </c>
    </row>
    <row r="16" spans="1:30" x14ac:dyDescent="0.25">
      <c r="C16" s="9">
        <v>70.12</v>
      </c>
      <c r="D16" s="10">
        <f t="shared" si="0"/>
        <v>0.21623369341756069</v>
      </c>
      <c r="E16" s="9">
        <f t="shared" si="1"/>
        <v>68.61644221007181</v>
      </c>
      <c r="F16" s="11">
        <f t="shared" si="2"/>
        <v>0.14567766984956948</v>
      </c>
      <c r="G16" s="9">
        <v>80</v>
      </c>
      <c r="R16" s="2"/>
      <c r="S16" s="2" t="s">
        <v>8</v>
      </c>
      <c r="T16" s="4">
        <f t="shared" si="3"/>
        <v>0.21623369341756069</v>
      </c>
      <c r="U16" s="2" t="s">
        <v>3</v>
      </c>
      <c r="V16" s="2" t="s">
        <v>9</v>
      </c>
      <c r="W16" s="3">
        <f t="shared" si="4"/>
        <v>80</v>
      </c>
      <c r="X16" s="2" t="s">
        <v>4</v>
      </c>
      <c r="Y16" s="2" t="s">
        <v>8</v>
      </c>
      <c r="Z16" s="4">
        <f t="shared" si="5"/>
        <v>0.14567766984956948</v>
      </c>
      <c r="AA16" s="2" t="s">
        <v>3</v>
      </c>
      <c r="AB16" s="2" t="s">
        <v>9</v>
      </c>
      <c r="AC16" s="3">
        <f t="shared" si="6"/>
        <v>80</v>
      </c>
      <c r="AD16" s="2" t="s">
        <v>4</v>
      </c>
    </row>
    <row r="17" spans="3:30" x14ac:dyDescent="0.25">
      <c r="C17" s="9">
        <v>82.36</v>
      </c>
      <c r="D17" s="10">
        <f t="shared" si="0"/>
        <v>0.25110684060756128</v>
      </c>
      <c r="E17" s="9">
        <f t="shared" si="1"/>
        <v>80.293447397604155</v>
      </c>
      <c r="F17" s="11">
        <f t="shared" si="2"/>
        <v>0.16862618136039464</v>
      </c>
      <c r="G17" s="9">
        <v>75</v>
      </c>
      <c r="R17" s="2"/>
      <c r="S17" s="2" t="s">
        <v>8</v>
      </c>
      <c r="T17" s="4">
        <f t="shared" si="3"/>
        <v>0.25110684060756128</v>
      </c>
      <c r="U17" s="2" t="s">
        <v>3</v>
      </c>
      <c r="V17" s="2" t="s">
        <v>9</v>
      </c>
      <c r="W17" s="3">
        <f t="shared" si="4"/>
        <v>75</v>
      </c>
      <c r="X17" s="2" t="s">
        <v>4</v>
      </c>
      <c r="Y17" s="2" t="s">
        <v>8</v>
      </c>
      <c r="Z17" s="4">
        <f t="shared" si="5"/>
        <v>0.16862618136039464</v>
      </c>
      <c r="AA17" s="2" t="s">
        <v>3</v>
      </c>
      <c r="AB17" s="2" t="s">
        <v>9</v>
      </c>
      <c r="AC17" s="3">
        <f t="shared" si="6"/>
        <v>75</v>
      </c>
      <c r="AD17" s="2" t="s">
        <v>4</v>
      </c>
    </row>
    <row r="18" spans="3:30" x14ac:dyDescent="0.25">
      <c r="C18" s="9">
        <v>97.05</v>
      </c>
      <c r="D18" s="10">
        <f t="shared" si="0"/>
        <v>0.29193291098856022</v>
      </c>
      <c r="E18" s="9">
        <f t="shared" si="1"/>
        <v>94.193294005247111</v>
      </c>
      <c r="F18" s="11">
        <f t="shared" si="2"/>
        <v>0.19530464767533079</v>
      </c>
      <c r="G18" s="9">
        <v>70</v>
      </c>
      <c r="R18" s="2"/>
      <c r="S18" s="2" t="s">
        <v>8</v>
      </c>
      <c r="T18" s="4">
        <f t="shared" si="3"/>
        <v>0.29193291098856022</v>
      </c>
      <c r="U18" s="2" t="s">
        <v>3</v>
      </c>
      <c r="V18" s="2" t="s">
        <v>9</v>
      </c>
      <c r="W18" s="3">
        <f t="shared" si="4"/>
        <v>70</v>
      </c>
      <c r="X18" s="2" t="s">
        <v>4</v>
      </c>
      <c r="Y18" s="2" t="s">
        <v>8</v>
      </c>
      <c r="Z18" s="4">
        <f t="shared" si="5"/>
        <v>0.19530464767533079</v>
      </c>
      <c r="AA18" s="2" t="s">
        <v>3</v>
      </c>
      <c r="AB18" s="2" t="s">
        <v>9</v>
      </c>
      <c r="AC18" s="3">
        <f t="shared" si="6"/>
        <v>70</v>
      </c>
      <c r="AD18" s="2" t="s">
        <v>4</v>
      </c>
    </row>
    <row r="19" spans="3:30" x14ac:dyDescent="0.25">
      <c r="C19" s="9">
        <v>113.96</v>
      </c>
      <c r="D19" s="10">
        <f t="shared" si="0"/>
        <v>0.33759560486911555</v>
      </c>
      <c r="E19" s="9">
        <f t="shared" si="1"/>
        <v>110.04115921737136</v>
      </c>
      <c r="F19" s="11">
        <f t="shared" si="2"/>
        <v>0.22490686755293812</v>
      </c>
      <c r="G19" s="9">
        <v>65</v>
      </c>
      <c r="R19" s="2"/>
      <c r="S19" s="2" t="s">
        <v>8</v>
      </c>
      <c r="T19" s="4">
        <f t="shared" si="3"/>
        <v>0.33759560486911555</v>
      </c>
      <c r="U19" s="2" t="s">
        <v>3</v>
      </c>
      <c r="V19" s="2" t="s">
        <v>9</v>
      </c>
      <c r="W19" s="3">
        <f t="shared" si="4"/>
        <v>65</v>
      </c>
      <c r="X19" s="2" t="s">
        <v>4</v>
      </c>
      <c r="Y19" s="2" t="s">
        <v>8</v>
      </c>
      <c r="Z19" s="4">
        <f t="shared" si="5"/>
        <v>0.22490686755293812</v>
      </c>
      <c r="AA19" s="2" t="s">
        <v>3</v>
      </c>
      <c r="AB19" s="2" t="s">
        <v>9</v>
      </c>
      <c r="AC19" s="3">
        <f t="shared" si="6"/>
        <v>65</v>
      </c>
      <c r="AD19" s="2" t="s">
        <v>4</v>
      </c>
    </row>
    <row r="20" spans="3:30" x14ac:dyDescent="0.25">
      <c r="C20" s="9">
        <v>134</v>
      </c>
      <c r="D20" s="10">
        <f t="shared" si="0"/>
        <v>0.38994708994708993</v>
      </c>
      <c r="E20" s="9">
        <f t="shared" si="1"/>
        <v>128.61427714457108</v>
      </c>
      <c r="F20" s="11">
        <f t="shared" si="2"/>
        <v>0.25854151164026784</v>
      </c>
      <c r="G20" s="9">
        <v>60</v>
      </c>
      <c r="R20" s="2"/>
      <c r="S20" s="2" t="s">
        <v>8</v>
      </c>
      <c r="T20" s="4">
        <f t="shared" si="3"/>
        <v>0.38994708994708993</v>
      </c>
      <c r="U20" s="2" t="s">
        <v>3</v>
      </c>
      <c r="V20" s="2" t="s">
        <v>9</v>
      </c>
      <c r="W20" s="3">
        <f t="shared" si="4"/>
        <v>60</v>
      </c>
      <c r="X20" s="2" t="s">
        <v>4</v>
      </c>
      <c r="Y20" s="2" t="s">
        <v>8</v>
      </c>
      <c r="Z20" s="4">
        <f t="shared" si="5"/>
        <v>0.25854151164026784</v>
      </c>
      <c r="AA20" s="2" t="s">
        <v>3</v>
      </c>
      <c r="AB20" s="2" t="s">
        <v>9</v>
      </c>
      <c r="AC20" s="3">
        <f t="shared" si="6"/>
        <v>60</v>
      </c>
      <c r="AD20" s="2" t="s">
        <v>4</v>
      </c>
    </row>
    <row r="21" spans="3:30" x14ac:dyDescent="0.25">
      <c r="C21" s="9">
        <v>161.46</v>
      </c>
      <c r="D21" s="10">
        <f t="shared" si="0"/>
        <v>0.45874847175107192</v>
      </c>
      <c r="E21" s="9">
        <f t="shared" si="1"/>
        <v>153.70464024560755</v>
      </c>
      <c r="F21" s="11">
        <f t="shared" si="2"/>
        <v>0.30225881945225169</v>
      </c>
      <c r="G21" s="9">
        <v>55</v>
      </c>
      <c r="R21" s="2"/>
      <c r="S21" s="2" t="s">
        <v>8</v>
      </c>
      <c r="T21" s="4">
        <f t="shared" si="3"/>
        <v>0.45874847175107192</v>
      </c>
      <c r="U21" s="2" t="s">
        <v>3</v>
      </c>
      <c r="V21" s="2" t="s">
        <v>9</v>
      </c>
      <c r="W21" s="3">
        <f t="shared" si="4"/>
        <v>55</v>
      </c>
      <c r="X21" s="2" t="s">
        <v>4</v>
      </c>
      <c r="Y21" s="2" t="s">
        <v>8</v>
      </c>
      <c r="Z21" s="4">
        <f t="shared" si="5"/>
        <v>0.30225881945225169</v>
      </c>
      <c r="AA21" s="2" t="s">
        <v>3</v>
      </c>
      <c r="AB21" s="2" t="s">
        <v>9</v>
      </c>
      <c r="AC21" s="3">
        <f t="shared" si="6"/>
        <v>55</v>
      </c>
      <c r="AD21" s="2" t="s">
        <v>4</v>
      </c>
    </row>
    <row r="22" spans="3:30" x14ac:dyDescent="0.25">
      <c r="C22" s="9">
        <v>197.29</v>
      </c>
      <c r="D22" s="10">
        <f t="shared" si="0"/>
        <v>0.54377552639711346</v>
      </c>
      <c r="E22" s="9">
        <f t="shared" si="1"/>
        <v>185.83282557567944</v>
      </c>
      <c r="F22" s="11">
        <f t="shared" si="2"/>
        <v>0.35553765584128355</v>
      </c>
      <c r="G22" s="9">
        <v>50</v>
      </c>
      <c r="R22" s="2"/>
      <c r="S22" s="2" t="s">
        <v>8</v>
      </c>
      <c r="T22" s="4">
        <f t="shared" si="3"/>
        <v>0.54377552639711346</v>
      </c>
      <c r="U22" s="2" t="s">
        <v>3</v>
      </c>
      <c r="V22" s="2" t="s">
        <v>9</v>
      </c>
      <c r="W22" s="3">
        <f t="shared" si="4"/>
        <v>50</v>
      </c>
      <c r="X22" s="2" t="s">
        <v>4</v>
      </c>
      <c r="Y22" s="2" t="s">
        <v>8</v>
      </c>
      <c r="Z22" s="4">
        <f t="shared" si="5"/>
        <v>0.35553765584128355</v>
      </c>
      <c r="AA22" s="2" t="s">
        <v>3</v>
      </c>
      <c r="AB22" s="2" t="s">
        <v>9</v>
      </c>
      <c r="AC22" s="3">
        <f t="shared" si="6"/>
        <v>50</v>
      </c>
      <c r="AD22" s="2" t="s">
        <v>4</v>
      </c>
    </row>
    <row r="23" spans="3:30" x14ac:dyDescent="0.25">
      <c r="C23" s="9">
        <v>239.56</v>
      </c>
      <c r="D23" s="10">
        <f t="shared" si="0"/>
        <v>0.63776501339184877</v>
      </c>
      <c r="E23" s="9">
        <f t="shared" si="1"/>
        <v>222.87501889776598</v>
      </c>
      <c r="F23" s="11">
        <f t="shared" si="2"/>
        <v>0.4134909057019337</v>
      </c>
      <c r="G23" s="9">
        <v>45</v>
      </c>
      <c r="R23" s="2"/>
      <c r="S23" s="2" t="s">
        <v>8</v>
      </c>
      <c r="T23" s="4">
        <f t="shared" si="3"/>
        <v>0.63776501339184877</v>
      </c>
      <c r="U23" s="2" t="s">
        <v>3</v>
      </c>
      <c r="V23" s="2" t="s">
        <v>9</v>
      </c>
      <c r="W23" s="3">
        <f t="shared" si="4"/>
        <v>45</v>
      </c>
      <c r="X23" s="2" t="s">
        <v>4</v>
      </c>
      <c r="Y23" s="2" t="s">
        <v>8</v>
      </c>
      <c r="Z23" s="4">
        <f t="shared" si="5"/>
        <v>0.4134909057019337</v>
      </c>
      <c r="AA23" s="2" t="s">
        <v>3</v>
      </c>
      <c r="AB23" s="2" t="s">
        <v>9</v>
      </c>
      <c r="AC23" s="3">
        <f t="shared" si="6"/>
        <v>45</v>
      </c>
      <c r="AD23" s="2" t="s">
        <v>4</v>
      </c>
    </row>
    <row r="24" spans="3:30" x14ac:dyDescent="0.25">
      <c r="C24" s="9">
        <v>291.45999999999998</v>
      </c>
      <c r="D24" s="10">
        <f t="shared" si="0"/>
        <v>0.74475245071469487</v>
      </c>
      <c r="E24" s="9">
        <f t="shared" si="1"/>
        <v>267.12951029082387</v>
      </c>
      <c r="F24" s="11">
        <f t="shared" si="2"/>
        <v>0.4782858196816912</v>
      </c>
      <c r="G24" s="9">
        <v>40</v>
      </c>
      <c r="R24" s="2"/>
      <c r="S24" s="2" t="s">
        <v>8</v>
      </c>
      <c r="T24" s="4">
        <f t="shared" si="3"/>
        <v>0.74475245071469487</v>
      </c>
      <c r="U24" s="2" t="s">
        <v>3</v>
      </c>
      <c r="V24" s="2" t="s">
        <v>9</v>
      </c>
      <c r="W24" s="3">
        <f t="shared" si="4"/>
        <v>40</v>
      </c>
      <c r="X24" s="2" t="s">
        <v>4</v>
      </c>
      <c r="Y24" s="2" t="s">
        <v>8</v>
      </c>
      <c r="Z24" s="4">
        <f t="shared" si="5"/>
        <v>0.4782858196816912</v>
      </c>
      <c r="AA24" s="2" t="s">
        <v>3</v>
      </c>
      <c r="AB24" s="2" t="s">
        <v>9</v>
      </c>
      <c r="AC24" s="3">
        <f t="shared" si="6"/>
        <v>40</v>
      </c>
      <c r="AD24" s="2" t="s">
        <v>4</v>
      </c>
    </row>
    <row r="25" spans="3:30" x14ac:dyDescent="0.25">
      <c r="C25" s="9">
        <v>356.64</v>
      </c>
      <c r="D25" s="10">
        <f t="shared" si="0"/>
        <v>0.86751975468805276</v>
      </c>
      <c r="E25" s="9">
        <f t="shared" si="1"/>
        <v>320.87813216968823</v>
      </c>
      <c r="F25" s="11">
        <f t="shared" si="2"/>
        <v>0.55114264111873235</v>
      </c>
      <c r="G25" s="9">
        <v>35</v>
      </c>
      <c r="R25" s="2"/>
      <c r="S25" s="2" t="s">
        <v>8</v>
      </c>
      <c r="T25" s="4">
        <f t="shared" si="3"/>
        <v>0.86751975468805276</v>
      </c>
      <c r="U25" s="2" t="s">
        <v>3</v>
      </c>
      <c r="V25" s="2" t="s">
        <v>9</v>
      </c>
      <c r="W25" s="3">
        <f t="shared" si="4"/>
        <v>35</v>
      </c>
      <c r="X25" s="2" t="s">
        <v>4</v>
      </c>
      <c r="Y25" s="2" t="s">
        <v>8</v>
      </c>
      <c r="Z25" s="4">
        <f t="shared" si="5"/>
        <v>0.55114264111873235</v>
      </c>
      <c r="AA25" s="2" t="s">
        <v>3</v>
      </c>
      <c r="AB25" s="2" t="s">
        <v>9</v>
      </c>
      <c r="AC25" s="3">
        <f t="shared" si="6"/>
        <v>35</v>
      </c>
      <c r="AD25" s="2" t="s">
        <v>4</v>
      </c>
    </row>
    <row r="26" spans="3:30" x14ac:dyDescent="0.25">
      <c r="C26" s="9">
        <v>439.29</v>
      </c>
      <c r="D26" s="10">
        <f t="shared" si="0"/>
        <v>1.0072028569641975</v>
      </c>
      <c r="E26" s="9">
        <f t="shared" si="1"/>
        <v>386.26435376131059</v>
      </c>
      <c r="F26" s="11">
        <f t="shared" si="2"/>
        <v>0.63215738774371066</v>
      </c>
      <c r="G26" s="9">
        <v>30</v>
      </c>
      <c r="R26" s="2"/>
      <c r="S26" s="2" t="s">
        <v>8</v>
      </c>
      <c r="T26" s="4">
        <f t="shared" si="3"/>
        <v>1.0072028569641975</v>
      </c>
      <c r="U26" s="2" t="s">
        <v>3</v>
      </c>
      <c r="V26" s="2" t="s">
        <v>9</v>
      </c>
      <c r="W26" s="3">
        <f t="shared" si="4"/>
        <v>30</v>
      </c>
      <c r="X26" s="2" t="s">
        <v>4</v>
      </c>
      <c r="Y26" s="2" t="s">
        <v>8</v>
      </c>
      <c r="Z26" s="4">
        <f t="shared" si="5"/>
        <v>0.63215738774371066</v>
      </c>
      <c r="AA26" s="2" t="s">
        <v>3</v>
      </c>
      <c r="AB26" s="2" t="s">
        <v>9</v>
      </c>
      <c r="AC26" s="3">
        <f t="shared" si="6"/>
        <v>30</v>
      </c>
      <c r="AD26" s="2" t="s">
        <v>4</v>
      </c>
    </row>
    <row r="27" spans="3:30" x14ac:dyDescent="0.25">
      <c r="C27" s="9">
        <v>543.54</v>
      </c>
      <c r="D27" s="10">
        <f t="shared" si="0"/>
        <v>1.1620573486919676</v>
      </c>
      <c r="E27" s="9">
        <f t="shared" si="1"/>
        <v>464.62118743221657</v>
      </c>
      <c r="F27" s="11">
        <f t="shared" si="2"/>
        <v>0.71971464569272869</v>
      </c>
      <c r="G27" s="9">
        <v>25</v>
      </c>
      <c r="R27" s="2"/>
      <c r="S27" s="2" t="s">
        <v>8</v>
      </c>
      <c r="T27" s="4">
        <f t="shared" si="3"/>
        <v>1.1620573486919676</v>
      </c>
      <c r="U27" s="2" t="s">
        <v>3</v>
      </c>
      <c r="V27" s="2" t="s">
        <v>9</v>
      </c>
      <c r="W27" s="3">
        <f t="shared" si="4"/>
        <v>25</v>
      </c>
      <c r="X27" s="2" t="s">
        <v>4</v>
      </c>
      <c r="Y27" s="2" t="s">
        <v>8</v>
      </c>
      <c r="Z27" s="4">
        <f t="shared" si="5"/>
        <v>0.71971464569272869</v>
      </c>
      <c r="AA27" s="2" t="s">
        <v>3</v>
      </c>
      <c r="AB27" s="2" t="s">
        <v>9</v>
      </c>
      <c r="AC27" s="3">
        <f t="shared" si="6"/>
        <v>25</v>
      </c>
      <c r="AD27" s="2" t="s">
        <v>4</v>
      </c>
    </row>
    <row r="28" spans="3:30" x14ac:dyDescent="0.25">
      <c r="C28" s="9">
        <v>676.95</v>
      </c>
      <c r="D28" s="10">
        <f t="shared" si="0"/>
        <v>1.3321416857986224</v>
      </c>
      <c r="E28" s="9">
        <f t="shared" si="1"/>
        <v>558.74850075445909</v>
      </c>
      <c r="F28" s="11">
        <f t="shared" si="2"/>
        <v>0.8132554164274165</v>
      </c>
      <c r="G28" s="9">
        <v>20</v>
      </c>
      <c r="R28" s="2"/>
      <c r="S28" s="2" t="s">
        <v>8</v>
      </c>
      <c r="T28" s="4">
        <f t="shared" si="3"/>
        <v>1.3321416857986224</v>
      </c>
      <c r="U28" s="2" t="s">
        <v>3</v>
      </c>
      <c r="V28" s="2" t="s">
        <v>9</v>
      </c>
      <c r="W28" s="3">
        <f t="shared" si="4"/>
        <v>20</v>
      </c>
      <c r="X28" s="2" t="s">
        <v>4</v>
      </c>
      <c r="Y28" s="2" t="s">
        <v>8</v>
      </c>
      <c r="Z28" s="4">
        <f t="shared" si="5"/>
        <v>0.8132554164274165</v>
      </c>
      <c r="AA28" s="2" t="s">
        <v>3</v>
      </c>
      <c r="AB28" s="2" t="s">
        <v>9</v>
      </c>
      <c r="AC28" s="3">
        <f t="shared" si="6"/>
        <v>20</v>
      </c>
      <c r="AD28" s="2" t="s">
        <v>4</v>
      </c>
    </row>
    <row r="29" spans="3:30" x14ac:dyDescent="0.25">
      <c r="C29" s="9">
        <v>850.09</v>
      </c>
      <c r="D29" s="10">
        <f t="shared" si="0"/>
        <v>1.5163029906653189</v>
      </c>
      <c r="E29" s="9">
        <f t="shared" si="1"/>
        <v>671.66112357996985</v>
      </c>
      <c r="F29" s="11">
        <f t="shared" si="2"/>
        <v>0.91156703510498227</v>
      </c>
      <c r="G29" s="9">
        <v>15</v>
      </c>
      <c r="R29" s="2"/>
      <c r="S29" s="2" t="s">
        <v>8</v>
      </c>
      <c r="T29" s="4">
        <f t="shared" si="3"/>
        <v>1.5163029906653189</v>
      </c>
      <c r="U29" s="2" t="s">
        <v>3</v>
      </c>
      <c r="V29" s="2" t="s">
        <v>9</v>
      </c>
      <c r="W29" s="3">
        <f t="shared" si="4"/>
        <v>15</v>
      </c>
      <c r="X29" s="2" t="s">
        <v>4</v>
      </c>
      <c r="Y29" s="2" t="s">
        <v>8</v>
      </c>
      <c r="Z29" s="4">
        <f t="shared" si="5"/>
        <v>0.91156703510498227</v>
      </c>
      <c r="AA29" s="2" t="s">
        <v>3</v>
      </c>
      <c r="AB29" s="2" t="s">
        <v>9</v>
      </c>
      <c r="AC29" s="3">
        <f t="shared" si="6"/>
        <v>15</v>
      </c>
      <c r="AD29" s="2" t="s">
        <v>4</v>
      </c>
    </row>
    <row r="30" spans="3:30" x14ac:dyDescent="0.25">
      <c r="C30" s="9">
        <v>1075</v>
      </c>
      <c r="D30" s="10">
        <f t="shared" si="0"/>
        <v>1.7096385542168675</v>
      </c>
      <c r="E30" s="9">
        <f t="shared" si="1"/>
        <v>804.67836257309943</v>
      </c>
      <c r="F30" s="11">
        <f t="shared" si="2"/>
        <v>1.0116007777057678</v>
      </c>
      <c r="G30" s="9">
        <v>10</v>
      </c>
      <c r="R30" s="2"/>
      <c r="S30" s="2" t="s">
        <v>8</v>
      </c>
      <c r="T30" s="4">
        <f t="shared" si="3"/>
        <v>1.7096385542168675</v>
      </c>
      <c r="U30" s="2" t="s">
        <v>3</v>
      </c>
      <c r="V30" s="2" t="s">
        <v>9</v>
      </c>
      <c r="W30" s="3">
        <f t="shared" si="4"/>
        <v>10</v>
      </c>
      <c r="X30" s="2" t="s">
        <v>4</v>
      </c>
      <c r="Y30" s="2" t="s">
        <v>8</v>
      </c>
      <c r="Z30" s="4">
        <f t="shared" si="5"/>
        <v>1.0116007777057678</v>
      </c>
      <c r="AA30" s="2" t="s">
        <v>3</v>
      </c>
      <c r="AB30" s="2" t="s">
        <v>9</v>
      </c>
      <c r="AC30" s="3">
        <f t="shared" si="6"/>
        <v>10</v>
      </c>
      <c r="AD30" s="2" t="s">
        <v>4</v>
      </c>
    </row>
    <row r="31" spans="3:30" x14ac:dyDescent="0.25">
      <c r="C31" s="9">
        <v>1364</v>
      </c>
      <c r="D31" s="10">
        <f t="shared" si="0"/>
        <v>1.9040609137055837</v>
      </c>
      <c r="E31" s="9">
        <f t="shared" si="1"/>
        <v>956.35407537248022</v>
      </c>
      <c r="F31" s="11">
        <f t="shared" si="2"/>
        <v>1.1090672878774304</v>
      </c>
      <c r="G31" s="9">
        <v>5</v>
      </c>
      <c r="R31" s="2"/>
      <c r="S31" s="2" t="s">
        <v>8</v>
      </c>
      <c r="T31" s="4">
        <f t="shared" si="3"/>
        <v>1.9040609137055837</v>
      </c>
      <c r="U31" s="2" t="s">
        <v>3</v>
      </c>
      <c r="V31" s="2" t="s">
        <v>9</v>
      </c>
      <c r="W31" s="3">
        <f t="shared" si="4"/>
        <v>5</v>
      </c>
      <c r="X31" s="2" t="s">
        <v>4</v>
      </c>
      <c r="Y31" s="2" t="s">
        <v>8</v>
      </c>
      <c r="Z31" s="4">
        <f t="shared" si="5"/>
        <v>1.1090672878774304</v>
      </c>
      <c r="AA31" s="2" t="s">
        <v>3</v>
      </c>
      <c r="AB31" s="2" t="s">
        <v>9</v>
      </c>
      <c r="AC31" s="3">
        <f t="shared" si="6"/>
        <v>5</v>
      </c>
      <c r="AD31" s="2" t="s">
        <v>4</v>
      </c>
    </row>
    <row r="32" spans="3:30" x14ac:dyDescent="0.25">
      <c r="C32" s="9">
        <v>1743</v>
      </c>
      <c r="D32" s="10">
        <f t="shared" si="0"/>
        <v>2.0969376594969011</v>
      </c>
      <c r="E32" s="9">
        <f t="shared" si="1"/>
        <v>1128.3835727291118</v>
      </c>
      <c r="F32" s="11">
        <f t="shared" si="2"/>
        <v>1.2028002205197423</v>
      </c>
      <c r="G32" s="9">
        <v>0</v>
      </c>
      <c r="R32" s="2"/>
      <c r="S32" s="2" t="s">
        <v>8</v>
      </c>
      <c r="T32" s="4">
        <f t="shared" si="3"/>
        <v>2.0969376594969011</v>
      </c>
      <c r="U32" s="2" t="s">
        <v>3</v>
      </c>
      <c r="V32" s="2" t="s">
        <v>9</v>
      </c>
      <c r="W32" s="3">
        <f t="shared" si="4"/>
        <v>0</v>
      </c>
      <c r="X32" s="2" t="s">
        <v>4</v>
      </c>
      <c r="Y32" s="2" t="s">
        <v>8</v>
      </c>
      <c r="Z32" s="4">
        <f t="shared" si="5"/>
        <v>1.2028002205197423</v>
      </c>
      <c r="AA32" s="2" t="s">
        <v>3</v>
      </c>
      <c r="AB32" s="2" t="s">
        <v>9</v>
      </c>
      <c r="AC32" s="3">
        <f t="shared" si="6"/>
        <v>0</v>
      </c>
      <c r="AD32" s="2" t="s">
        <v>4</v>
      </c>
    </row>
    <row r="33" spans="1:30" x14ac:dyDescent="0.25">
      <c r="C33" s="9">
        <v>2249</v>
      </c>
      <c r="D33" s="10">
        <f t="shared" si="0"/>
        <v>2.2843028624192057</v>
      </c>
      <c r="E33" s="9">
        <f t="shared" si="1"/>
        <v>1320.7561020370711</v>
      </c>
      <c r="F33" s="11">
        <f t="shared" si="2"/>
        <v>1.2911591200240391</v>
      </c>
      <c r="G33" s="9">
        <v>-5</v>
      </c>
      <c r="R33" s="2"/>
      <c r="S33" s="2" t="s">
        <v>8</v>
      </c>
      <c r="T33" s="4">
        <f t="shared" si="3"/>
        <v>2.2843028624192057</v>
      </c>
      <c r="U33" s="2" t="s">
        <v>3</v>
      </c>
      <c r="V33" s="2" t="s">
        <v>9</v>
      </c>
      <c r="W33" s="3">
        <f t="shared" si="4"/>
        <v>-5</v>
      </c>
      <c r="X33" s="2" t="s">
        <v>4</v>
      </c>
      <c r="Y33" s="2" t="s">
        <v>8</v>
      </c>
      <c r="Z33" s="4">
        <f t="shared" si="5"/>
        <v>1.2911591200240391</v>
      </c>
      <c r="AA33" s="2" t="s">
        <v>3</v>
      </c>
      <c r="AB33" s="2" t="s">
        <v>9</v>
      </c>
      <c r="AC33" s="3">
        <f t="shared" si="6"/>
        <v>-5</v>
      </c>
      <c r="AD33" s="2" t="s">
        <v>4</v>
      </c>
    </row>
    <row r="34" spans="1:30" x14ac:dyDescent="0.25">
      <c r="C34" s="9">
        <v>2929</v>
      </c>
      <c r="D34" s="10">
        <f t="shared" si="0"/>
        <v>2.4600916263680324</v>
      </c>
      <c r="E34" s="9">
        <f t="shared" si="1"/>
        <v>1529.2543644966552</v>
      </c>
      <c r="F34" s="11">
        <f t="shared" si="2"/>
        <v>1.3717465068572678</v>
      </c>
      <c r="G34" s="9">
        <v>-10</v>
      </c>
      <c r="R34" s="2"/>
      <c r="S34" s="2" t="s">
        <v>8</v>
      </c>
      <c r="T34" s="4">
        <f t="shared" si="3"/>
        <v>2.4600916263680324</v>
      </c>
      <c r="U34" s="2" t="s">
        <v>3</v>
      </c>
      <c r="V34" s="2" t="s">
        <v>9</v>
      </c>
      <c r="W34" s="3">
        <f t="shared" si="4"/>
        <v>-10</v>
      </c>
      <c r="X34" s="2" t="s">
        <v>4</v>
      </c>
      <c r="Y34" s="2" t="s">
        <v>8</v>
      </c>
      <c r="Z34" s="4">
        <f t="shared" si="5"/>
        <v>1.3717465068572678</v>
      </c>
      <c r="AA34" s="2" t="s">
        <v>3</v>
      </c>
      <c r="AB34" s="2" t="s">
        <v>9</v>
      </c>
      <c r="AC34" s="3">
        <f t="shared" si="6"/>
        <v>-10</v>
      </c>
      <c r="AD34" s="2" t="s">
        <v>4</v>
      </c>
    </row>
    <row r="35" spans="1:30" x14ac:dyDescent="0.25">
      <c r="C35" s="9">
        <v>3833</v>
      </c>
      <c r="D35" s="10">
        <f t="shared" si="0"/>
        <v>2.6171942892613282</v>
      </c>
      <c r="E35" s="9">
        <f t="shared" si="1"/>
        <v>1744.006824968008</v>
      </c>
      <c r="F35" s="11">
        <f t="shared" si="2"/>
        <v>1.4419481205890583</v>
      </c>
      <c r="G35" s="9">
        <v>-15</v>
      </c>
      <c r="R35" s="2"/>
      <c r="S35" s="2" t="s">
        <v>8</v>
      </c>
      <c r="T35" s="4">
        <f t="shared" si="3"/>
        <v>2.6171942892613282</v>
      </c>
      <c r="U35" s="2" t="s">
        <v>3</v>
      </c>
      <c r="V35" s="2" t="s">
        <v>9</v>
      </c>
      <c r="W35" s="3">
        <f t="shared" si="4"/>
        <v>-15</v>
      </c>
      <c r="X35" s="2" t="s">
        <v>4</v>
      </c>
      <c r="Y35" s="2" t="s">
        <v>8</v>
      </c>
      <c r="Z35" s="4">
        <f t="shared" si="5"/>
        <v>1.4419481205890583</v>
      </c>
      <c r="AA35" s="2" t="s">
        <v>3</v>
      </c>
      <c r="AB35" s="2" t="s">
        <v>9</v>
      </c>
      <c r="AC35" s="3">
        <f t="shared" si="6"/>
        <v>-15</v>
      </c>
      <c r="AD35" s="2" t="s">
        <v>4</v>
      </c>
    </row>
    <row r="36" spans="1:30" x14ac:dyDescent="0.25">
      <c r="C36" s="9">
        <v>5067</v>
      </c>
      <c r="D36" s="10">
        <f t="shared" si="0"/>
        <v>2.7560738420965878</v>
      </c>
      <c r="E36" s="9">
        <f t="shared" si="1"/>
        <v>1961.340268537559</v>
      </c>
      <c r="F36" s="11">
        <f t="shared" si="2"/>
        <v>1.5026273007262654</v>
      </c>
      <c r="G36" s="9">
        <v>-20</v>
      </c>
      <c r="R36" s="2"/>
      <c r="S36" s="2" t="s">
        <v>8</v>
      </c>
      <c r="T36" s="4">
        <f t="shared" si="3"/>
        <v>2.7560738420965878</v>
      </c>
      <c r="U36" s="2" t="s">
        <v>3</v>
      </c>
      <c r="V36" s="2" t="s">
        <v>9</v>
      </c>
      <c r="W36" s="3">
        <f t="shared" si="4"/>
        <v>-20</v>
      </c>
      <c r="X36" s="2" t="s">
        <v>4</v>
      </c>
      <c r="Y36" s="2" t="s">
        <v>8</v>
      </c>
      <c r="Z36" s="4">
        <f t="shared" si="5"/>
        <v>1.5026273007262654</v>
      </c>
      <c r="AA36" s="2" t="s">
        <v>3</v>
      </c>
      <c r="AB36" s="2" t="s">
        <v>9</v>
      </c>
      <c r="AC36" s="3">
        <f t="shared" si="6"/>
        <v>-20</v>
      </c>
      <c r="AD36" s="2" t="s">
        <v>4</v>
      </c>
    </row>
    <row r="37" spans="1:30" x14ac:dyDescent="0.25">
      <c r="C37" s="9">
        <v>6764</v>
      </c>
      <c r="D37" s="10">
        <f t="shared" si="0"/>
        <v>2.8749613601236472</v>
      </c>
      <c r="E37" s="9">
        <f t="shared" si="1"/>
        <v>2172.3002810116418</v>
      </c>
      <c r="F37" s="11">
        <f t="shared" si="2"/>
        <v>1.5535749538103312</v>
      </c>
      <c r="G37" s="9">
        <v>-25</v>
      </c>
      <c r="R37" s="2"/>
      <c r="S37" s="2" t="s">
        <v>8</v>
      </c>
      <c r="T37" s="4">
        <f t="shared" si="3"/>
        <v>2.8749613601236472</v>
      </c>
      <c r="U37" s="2" t="s">
        <v>3</v>
      </c>
      <c r="V37" s="2" t="s">
        <v>9</v>
      </c>
      <c r="W37" s="3">
        <f t="shared" si="4"/>
        <v>-25</v>
      </c>
      <c r="X37" s="2" t="s">
        <v>4</v>
      </c>
      <c r="Y37" s="2" t="s">
        <v>8</v>
      </c>
      <c r="Z37" s="4">
        <f t="shared" si="5"/>
        <v>1.5535749538103312</v>
      </c>
      <c r="AA37" s="2" t="s">
        <v>3</v>
      </c>
      <c r="AB37" s="2" t="s">
        <v>9</v>
      </c>
      <c r="AC37" s="3">
        <f t="shared" si="6"/>
        <v>-25</v>
      </c>
      <c r="AD37" s="2" t="s">
        <v>4</v>
      </c>
    </row>
    <row r="38" spans="1:30" x14ac:dyDescent="0.25">
      <c r="C38" s="9">
        <v>9134</v>
      </c>
      <c r="D38" s="10">
        <f t="shared" si="0"/>
        <v>2.9743635287152159</v>
      </c>
      <c r="E38" s="9">
        <f t="shared" si="1"/>
        <v>2369.7746067780122</v>
      </c>
      <c r="F38" s="11">
        <f t="shared" si="2"/>
        <v>1.5954853859701463</v>
      </c>
      <c r="G38" s="9">
        <v>-30</v>
      </c>
      <c r="R38" s="2"/>
      <c r="S38" s="2" t="s">
        <v>8</v>
      </c>
      <c r="T38" s="4">
        <f t="shared" si="3"/>
        <v>2.9743635287152159</v>
      </c>
      <c r="U38" s="2" t="s">
        <v>3</v>
      </c>
      <c r="V38" s="2" t="s">
        <v>9</v>
      </c>
      <c r="W38" s="3">
        <f t="shared" si="4"/>
        <v>-30</v>
      </c>
      <c r="X38" s="2" t="s">
        <v>4</v>
      </c>
      <c r="Y38" s="2" t="s">
        <v>8</v>
      </c>
      <c r="Z38" s="4">
        <f t="shared" si="5"/>
        <v>1.5954853859701463</v>
      </c>
      <c r="AA38" s="2" t="s">
        <v>3</v>
      </c>
      <c r="AB38" s="2" t="s">
        <v>9</v>
      </c>
      <c r="AC38" s="3">
        <f t="shared" si="6"/>
        <v>-30</v>
      </c>
      <c r="AD38" s="2" t="s">
        <v>4</v>
      </c>
    </row>
    <row r="39" spans="1:30" x14ac:dyDescent="0.25">
      <c r="C39" s="9">
        <v>12439</v>
      </c>
      <c r="D39" s="10">
        <f t="shared" si="0"/>
        <v>3.0544460153285211</v>
      </c>
      <c r="E39" s="9">
        <f t="shared" si="1"/>
        <v>2545.2266768975001</v>
      </c>
      <c r="F39" s="11">
        <f t="shared" si="2"/>
        <v>1.6288050241866534</v>
      </c>
      <c r="G39" s="9">
        <v>-35</v>
      </c>
      <c r="R39" s="2"/>
      <c r="S39" s="2" t="s">
        <v>8</v>
      </c>
      <c r="T39" s="4">
        <f t="shared" si="3"/>
        <v>3.0544460153285211</v>
      </c>
      <c r="U39" s="2" t="s">
        <v>3</v>
      </c>
      <c r="V39" s="2" t="s">
        <v>9</v>
      </c>
      <c r="W39" s="3">
        <f t="shared" si="4"/>
        <v>-35</v>
      </c>
      <c r="X39" s="2" t="s">
        <v>4</v>
      </c>
      <c r="Y39" s="2" t="s">
        <v>8</v>
      </c>
      <c r="Z39" s="4">
        <f t="shared" si="5"/>
        <v>1.6288050241866534</v>
      </c>
      <c r="AA39" s="2" t="s">
        <v>3</v>
      </c>
      <c r="AB39" s="2" t="s">
        <v>9</v>
      </c>
      <c r="AC39" s="3">
        <f t="shared" si="6"/>
        <v>-35</v>
      </c>
      <c r="AD39" s="2" t="s">
        <v>4</v>
      </c>
    </row>
    <row r="40" spans="1:30" x14ac:dyDescent="0.25">
      <c r="C40" s="9">
        <v>17162</v>
      </c>
      <c r="D40" s="10">
        <f t="shared" ref="D40" si="7">($B$2*C40)/($A$2+C40)</f>
        <v>3.1183019491245458</v>
      </c>
      <c r="E40" s="9">
        <f t="shared" si="1"/>
        <v>2697.1024457322465</v>
      </c>
      <c r="F40" s="11">
        <f t="shared" si="2"/>
        <v>1.6550937561436974</v>
      </c>
      <c r="G40" s="9">
        <v>-40</v>
      </c>
      <c r="R40" s="2"/>
      <c r="S40" s="2" t="s">
        <v>8</v>
      </c>
      <c r="T40" s="4">
        <f t="shared" si="3"/>
        <v>3.1183019491245458</v>
      </c>
      <c r="U40" s="2" t="s">
        <v>3</v>
      </c>
      <c r="V40" s="2" t="s">
        <v>9</v>
      </c>
      <c r="W40" s="3">
        <f t="shared" si="4"/>
        <v>-40</v>
      </c>
      <c r="X40" s="2" t="s">
        <v>5</v>
      </c>
      <c r="Y40" s="2" t="s">
        <v>8</v>
      </c>
      <c r="Z40" s="4">
        <f t="shared" si="5"/>
        <v>1.6550937561436974</v>
      </c>
      <c r="AA40" s="2" t="s">
        <v>3</v>
      </c>
      <c r="AB40" s="2" t="s">
        <v>9</v>
      </c>
      <c r="AC40" s="3">
        <f t="shared" si="6"/>
        <v>-40</v>
      </c>
      <c r="AD40" s="2" t="s">
        <v>5</v>
      </c>
    </row>
    <row r="41" spans="1:30" x14ac:dyDescent="0.25">
      <c r="R41" s="2"/>
      <c r="S41" s="2" t="s">
        <v>7</v>
      </c>
      <c r="T41" s="4"/>
      <c r="U41" s="2"/>
      <c r="V41" s="2"/>
      <c r="W41" s="3"/>
      <c r="X41" s="2"/>
      <c r="Y41" s="2" t="s">
        <v>7</v>
      </c>
      <c r="Z41" s="4"/>
      <c r="AA41" s="2"/>
      <c r="AB41" s="2"/>
      <c r="AC41" s="3"/>
      <c r="AD41" s="2"/>
    </row>
    <row r="45" spans="1:30" x14ac:dyDescent="0.25">
      <c r="A45" t="s">
        <v>18</v>
      </c>
    </row>
    <row r="46" spans="1:30" x14ac:dyDescent="0.25">
      <c r="A46" s="6" t="s">
        <v>19</v>
      </c>
    </row>
    <row r="67" spans="20:27" x14ac:dyDescent="0.25">
      <c r="T67"/>
      <c r="U67">
        <v>71.900000000000006</v>
      </c>
      <c r="Z67"/>
      <c r="AA67">
        <v>71.900000000000006</v>
      </c>
    </row>
  </sheetData>
  <hyperlinks>
    <hyperlink ref="A46" r:id="rId1" xr:uid="{3340CB2D-23BC-44AA-B2C7-E19B7F0D602F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B90D-5A9B-4CE5-8333-40548B1E1EE1}">
  <dimension ref="A1:AD45"/>
  <sheetViews>
    <sheetView zoomScaleNormal="100" workbookViewId="0">
      <selection activeCell="G18" sqref="G18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3" max="13" width="9.14062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4.42578125" style="1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3"/>
      <c r="X1" s="2"/>
      <c r="Y1" s="2" t="s">
        <v>17</v>
      </c>
      <c r="Z1" s="4"/>
      <c r="AA1" s="2"/>
      <c r="AB1" s="2"/>
      <c r="AC1" s="3"/>
      <c r="AD1" s="2"/>
    </row>
    <row r="2" spans="1:30" x14ac:dyDescent="0.25">
      <c r="A2">
        <v>1000</v>
      </c>
      <c r="B2">
        <v>3.3</v>
      </c>
      <c r="C2" s="9">
        <f>C26</f>
        <v>0</v>
      </c>
      <c r="D2" s="10">
        <f>($B$2*C2)/($A$2+C2)</f>
        <v>0</v>
      </c>
      <c r="E2" s="9">
        <f>C2*($A$6+$A$7)/(C2+$A$6+$A$7)</f>
        <v>0</v>
      </c>
      <c r="F2" s="11">
        <f>(($B$2*E2)/($B$6+E2))*$A$6/($A$6+$A$7)</f>
        <v>0</v>
      </c>
      <c r="G2" s="9">
        <v>200</v>
      </c>
      <c r="R2" s="2"/>
      <c r="S2" s="2" t="s">
        <v>8</v>
      </c>
      <c r="T2" s="4">
        <f>D2</f>
        <v>0</v>
      </c>
      <c r="U2" s="2" t="s">
        <v>3</v>
      </c>
      <c r="V2" s="2" t="s">
        <v>9</v>
      </c>
      <c r="W2" s="3">
        <f>G2</f>
        <v>200</v>
      </c>
      <c r="X2" s="2" t="s">
        <v>4</v>
      </c>
      <c r="Y2" s="2" t="s">
        <v>8</v>
      </c>
      <c r="Z2" s="4">
        <f>F2</f>
        <v>0</v>
      </c>
      <c r="AA2" s="2" t="s">
        <v>3</v>
      </c>
      <c r="AB2" s="2" t="s">
        <v>9</v>
      </c>
      <c r="AC2" s="3">
        <f>G2</f>
        <v>200</v>
      </c>
      <c r="AD2" s="2" t="s">
        <v>4</v>
      </c>
    </row>
    <row r="3" spans="1:30" x14ac:dyDescent="0.25">
      <c r="C3" s="9">
        <f t="shared" ref="C3:C16" si="0">C27</f>
        <v>21.063829787234042</v>
      </c>
      <c r="D3" s="10">
        <f t="shared" ref="D3:D16" si="1">($B$2*C3)/($A$2+C3)</f>
        <v>6.8076682642217126E-2</v>
      </c>
      <c r="E3" s="9">
        <f t="shared" ref="E3:E16" si="2">C3*($A$6+$A$7)/(C3+$A$6+$A$7)</f>
        <v>20.926084946165528</v>
      </c>
      <c r="F3" s="11">
        <f>(($B$2*E3)/($B$6+E3))*$A$6/($A$6+$A$7)</f>
        <v>4.6502930938547321E-2</v>
      </c>
      <c r="G3" s="9">
        <v>174</v>
      </c>
      <c r="R3" s="2"/>
      <c r="S3" s="2" t="s">
        <v>8</v>
      </c>
      <c r="T3" s="4">
        <f t="shared" ref="T3:T20" si="3">D3</f>
        <v>6.8076682642217126E-2</v>
      </c>
      <c r="U3" s="2" t="s">
        <v>3</v>
      </c>
      <c r="V3" s="2" t="s">
        <v>9</v>
      </c>
      <c r="W3" s="3">
        <f t="shared" ref="W3:W20" si="4">G3</f>
        <v>174</v>
      </c>
      <c r="X3" s="2" t="s">
        <v>4</v>
      </c>
      <c r="Y3" s="2" t="s">
        <v>8</v>
      </c>
      <c r="Z3" s="4">
        <f t="shared" ref="Z3:Z20" si="5">F3</f>
        <v>4.6502930938547321E-2</v>
      </c>
      <c r="AA3" s="2" t="s">
        <v>3</v>
      </c>
      <c r="AB3" s="2" t="s">
        <v>9</v>
      </c>
      <c r="AC3" s="3">
        <f t="shared" ref="AC3:AC20" si="6">G3</f>
        <v>174</v>
      </c>
      <c r="AD3" s="2" t="s">
        <v>4</v>
      </c>
    </row>
    <row r="4" spans="1:30" x14ac:dyDescent="0.25">
      <c r="A4" t="s">
        <v>13</v>
      </c>
      <c r="C4" s="9">
        <f t="shared" si="0"/>
        <v>53.720930232558132</v>
      </c>
      <c r="D4" s="10">
        <f t="shared" si="1"/>
        <v>0.16824100640035308</v>
      </c>
      <c r="E4" s="9">
        <f t="shared" si="2"/>
        <v>52.83396469158744</v>
      </c>
      <c r="F4" s="11">
        <f>(($B$2*E4)/($B$6+E4))*$A$6/($A$6+$A$7)</f>
        <v>0.11385181463931243</v>
      </c>
      <c r="G4" s="9">
        <v>135</v>
      </c>
      <c r="R4" s="2"/>
      <c r="S4" s="2" t="s">
        <v>8</v>
      </c>
      <c r="T4" s="4">
        <f t="shared" si="3"/>
        <v>0.16824100640035308</v>
      </c>
      <c r="U4" s="2" t="s">
        <v>3</v>
      </c>
      <c r="V4" s="2" t="s">
        <v>9</v>
      </c>
      <c r="W4" s="3">
        <f t="shared" si="4"/>
        <v>135</v>
      </c>
      <c r="X4" s="2" t="s">
        <v>4</v>
      </c>
      <c r="Y4" s="2" t="s">
        <v>8</v>
      </c>
      <c r="Z4" s="4">
        <f t="shared" si="5"/>
        <v>0.11385181463931243</v>
      </c>
      <c r="AA4" s="2" t="s">
        <v>3</v>
      </c>
      <c r="AB4" s="2" t="s">
        <v>9</v>
      </c>
      <c r="AC4" s="3">
        <f t="shared" si="6"/>
        <v>135</v>
      </c>
      <c r="AD4" s="2" t="s">
        <v>4</v>
      </c>
    </row>
    <row r="5" spans="1:30" x14ac:dyDescent="0.25">
      <c r="A5" t="s">
        <v>11</v>
      </c>
      <c r="B5" t="s">
        <v>14</v>
      </c>
      <c r="C5" s="9">
        <f t="shared" si="0"/>
        <v>82.5</v>
      </c>
      <c r="D5" s="10">
        <f t="shared" si="1"/>
        <v>0.25150115473441109</v>
      </c>
      <c r="E5" s="9">
        <f t="shared" si="2"/>
        <v>80.426504188880429</v>
      </c>
      <c r="F5" s="11">
        <f>(($B$2*E5)/($B$6+E5))*$A$6/($A$6+$A$7)</f>
        <v>0.1688848160157902</v>
      </c>
      <c r="G5" s="9">
        <v>113</v>
      </c>
      <c r="R5" s="2"/>
      <c r="S5" s="2" t="s">
        <v>8</v>
      </c>
      <c r="T5" s="4">
        <f t="shared" si="3"/>
        <v>0.25150115473441109</v>
      </c>
      <c r="U5" s="2" t="s">
        <v>3</v>
      </c>
      <c r="V5" s="2" t="s">
        <v>9</v>
      </c>
      <c r="W5" s="3">
        <f t="shared" si="4"/>
        <v>113</v>
      </c>
      <c r="X5" s="2" t="s">
        <v>4</v>
      </c>
      <c r="Y5" s="2" t="s">
        <v>8</v>
      </c>
      <c r="Z5" s="4">
        <f t="shared" si="5"/>
        <v>0.1688848160157902</v>
      </c>
      <c r="AA5" s="2" t="s">
        <v>3</v>
      </c>
      <c r="AB5" s="2" t="s">
        <v>9</v>
      </c>
      <c r="AC5" s="3">
        <f t="shared" si="6"/>
        <v>113</v>
      </c>
      <c r="AD5" s="2" t="s">
        <v>4</v>
      </c>
    </row>
    <row r="6" spans="1:30" x14ac:dyDescent="0.25">
      <c r="A6">
        <v>2200</v>
      </c>
      <c r="B6">
        <v>1000</v>
      </c>
      <c r="C6" s="9">
        <f t="shared" si="0"/>
        <v>115.94594594594594</v>
      </c>
      <c r="D6" s="10">
        <f>($B$2*C6)/($A$2+C6)</f>
        <v>0.34286752240251878</v>
      </c>
      <c r="E6" s="9">
        <f t="shared" si="2"/>
        <v>111.89175971961855</v>
      </c>
      <c r="F6" s="11">
        <f t="shared" ref="F6:F16" si="7">(($B$2*E6)/($B$6+E6))*$A$6/($A$6+$A$7)</f>
        <v>0.22830858097904969</v>
      </c>
      <c r="G6" s="9">
        <v>98</v>
      </c>
      <c r="R6" s="2"/>
      <c r="S6" s="2" t="s">
        <v>8</v>
      </c>
      <c r="T6" s="4">
        <f t="shared" si="3"/>
        <v>0.34286752240251878</v>
      </c>
      <c r="U6" s="2" t="s">
        <v>3</v>
      </c>
      <c r="V6" s="2" t="s">
        <v>9</v>
      </c>
      <c r="W6" s="3">
        <f t="shared" si="4"/>
        <v>98</v>
      </c>
      <c r="X6" s="2" t="s">
        <v>4</v>
      </c>
      <c r="Y6" s="2" t="s">
        <v>8</v>
      </c>
      <c r="Z6" s="4">
        <f t="shared" si="5"/>
        <v>0.22830858097904969</v>
      </c>
      <c r="AA6" s="2" t="s">
        <v>3</v>
      </c>
      <c r="AB6" s="2" t="s">
        <v>9</v>
      </c>
      <c r="AC6" s="3">
        <f t="shared" si="6"/>
        <v>98</v>
      </c>
      <c r="AD6" s="2" t="s">
        <v>4</v>
      </c>
    </row>
    <row r="7" spans="1:30" x14ac:dyDescent="0.25">
      <c r="A7">
        <v>1000</v>
      </c>
      <c r="C7" s="9">
        <f t="shared" si="0"/>
        <v>170</v>
      </c>
      <c r="D7" s="10">
        <f>($B$2*C7)/($A$2+C7)</f>
        <v>0.4794871794871795</v>
      </c>
      <c r="E7" s="9">
        <f t="shared" si="2"/>
        <v>161.42433234421364</v>
      </c>
      <c r="F7" s="11">
        <f>(($B$2*E7)/($B$6+E7))*$A$6/($A$6+$A$7)</f>
        <v>0.31532958610117529</v>
      </c>
      <c r="G7" s="9">
        <v>87</v>
      </c>
      <c r="R7" s="2"/>
      <c r="S7" s="2" t="s">
        <v>8</v>
      </c>
      <c r="T7" s="4">
        <f t="shared" si="3"/>
        <v>0.4794871794871795</v>
      </c>
      <c r="U7" s="2" t="s">
        <v>3</v>
      </c>
      <c r="V7" s="2" t="s">
        <v>9</v>
      </c>
      <c r="W7" s="3">
        <f t="shared" si="4"/>
        <v>87</v>
      </c>
      <c r="X7" s="2" t="s">
        <v>4</v>
      </c>
      <c r="Y7" s="2" t="s">
        <v>8</v>
      </c>
      <c r="Z7" s="4">
        <f t="shared" si="5"/>
        <v>0.31532958610117529</v>
      </c>
      <c r="AA7" s="2" t="s">
        <v>3</v>
      </c>
      <c r="AB7" s="2" t="s">
        <v>9</v>
      </c>
      <c r="AC7" s="3">
        <f t="shared" si="6"/>
        <v>87</v>
      </c>
      <c r="AD7" s="2" t="s">
        <v>4</v>
      </c>
    </row>
    <row r="8" spans="1:30" x14ac:dyDescent="0.25">
      <c r="C8" s="9">
        <f t="shared" si="0"/>
        <v>220</v>
      </c>
      <c r="D8" s="10">
        <f t="shared" si="1"/>
        <v>0.59508196721311479</v>
      </c>
      <c r="E8" s="9">
        <f t="shared" si="2"/>
        <v>205.84795321637426</v>
      </c>
      <c r="F8" s="11">
        <f>(($B$2*E8)/($B$6+E8))*$A$6/($A$6+$A$7)</f>
        <v>0.38729388942774007</v>
      </c>
      <c r="G8" s="9">
        <v>76</v>
      </c>
      <c r="R8" s="2"/>
      <c r="S8" s="2" t="s">
        <v>8</v>
      </c>
      <c r="T8" s="4">
        <f t="shared" si="3"/>
        <v>0.59508196721311479</v>
      </c>
      <c r="U8" s="2" t="s">
        <v>3</v>
      </c>
      <c r="V8" s="2" t="s">
        <v>9</v>
      </c>
      <c r="W8" s="3">
        <f t="shared" si="4"/>
        <v>76</v>
      </c>
      <c r="X8" s="2" t="s">
        <v>4</v>
      </c>
      <c r="Y8" s="2" t="s">
        <v>8</v>
      </c>
      <c r="Z8" s="4">
        <f t="shared" si="5"/>
        <v>0.38729388942774007</v>
      </c>
      <c r="AA8" s="2" t="s">
        <v>3</v>
      </c>
      <c r="AB8" s="2" t="s">
        <v>9</v>
      </c>
      <c r="AC8" s="3">
        <f t="shared" si="6"/>
        <v>76</v>
      </c>
      <c r="AD8" s="2" t="s">
        <v>4</v>
      </c>
    </row>
    <row r="9" spans="1:30" x14ac:dyDescent="0.25">
      <c r="C9" s="9">
        <f t="shared" si="0"/>
        <v>281.11111111111103</v>
      </c>
      <c r="D9" s="10">
        <f t="shared" si="1"/>
        <v>0.72411101474414552</v>
      </c>
      <c r="E9" s="9">
        <f t="shared" si="2"/>
        <v>258.41046919885088</v>
      </c>
      <c r="F9" s="11">
        <f t="shared" si="7"/>
        <v>0.46588038350327182</v>
      </c>
      <c r="G9" s="9">
        <v>67</v>
      </c>
      <c r="R9" s="2"/>
      <c r="S9" s="2" t="s">
        <v>8</v>
      </c>
      <c r="T9" s="4">
        <f t="shared" si="3"/>
        <v>0.72411101474414552</v>
      </c>
      <c r="U9" s="2" t="s">
        <v>3</v>
      </c>
      <c r="V9" s="2" t="s">
        <v>9</v>
      </c>
      <c r="W9" s="3">
        <f t="shared" si="4"/>
        <v>67</v>
      </c>
      <c r="X9" s="2" t="s">
        <v>4</v>
      </c>
      <c r="Y9" s="2" t="s">
        <v>8</v>
      </c>
      <c r="Z9" s="4">
        <f t="shared" si="5"/>
        <v>0.46588038350327182</v>
      </c>
      <c r="AA9" s="2" t="s">
        <v>3</v>
      </c>
      <c r="AB9" s="2" t="s">
        <v>9</v>
      </c>
      <c r="AC9" s="3">
        <f t="shared" si="6"/>
        <v>67</v>
      </c>
      <c r="AD9" s="2" t="s">
        <v>4</v>
      </c>
    </row>
    <row r="10" spans="1:30" x14ac:dyDescent="0.25">
      <c r="C10" s="9">
        <f t="shared" si="0"/>
        <v>387.39130434782618</v>
      </c>
      <c r="D10" s="10">
        <f t="shared" si="1"/>
        <v>0.92143528674396746</v>
      </c>
      <c r="E10" s="9">
        <f t="shared" si="2"/>
        <v>345.55811416797968</v>
      </c>
      <c r="F10" s="11">
        <f t="shared" si="7"/>
        <v>0.58264668263947683</v>
      </c>
      <c r="G10" s="9">
        <v>59</v>
      </c>
      <c r="R10" s="2"/>
      <c r="S10" s="2" t="s">
        <v>8</v>
      </c>
      <c r="T10" s="4">
        <f t="shared" si="3"/>
        <v>0.92143528674396746</v>
      </c>
      <c r="U10" s="2" t="s">
        <v>3</v>
      </c>
      <c r="V10" s="2" t="s">
        <v>9</v>
      </c>
      <c r="W10" s="3">
        <f t="shared" si="4"/>
        <v>59</v>
      </c>
      <c r="X10" s="2" t="s">
        <v>4</v>
      </c>
      <c r="Y10" s="2" t="s">
        <v>8</v>
      </c>
      <c r="Z10" s="4">
        <f t="shared" si="5"/>
        <v>0.58264668263947683</v>
      </c>
      <c r="AA10" s="2" t="s">
        <v>3</v>
      </c>
      <c r="AB10" s="2" t="s">
        <v>9</v>
      </c>
      <c r="AC10" s="3">
        <f t="shared" si="6"/>
        <v>59</v>
      </c>
      <c r="AD10" s="2" t="s">
        <v>4</v>
      </c>
    </row>
    <row r="11" spans="1:30" x14ac:dyDescent="0.25">
      <c r="C11" s="9">
        <f t="shared" si="0"/>
        <v>495</v>
      </c>
      <c r="D11" s="10">
        <f t="shared" si="1"/>
        <v>1.0926421404682274</v>
      </c>
      <c r="E11" s="9">
        <f t="shared" si="2"/>
        <v>428.68741542625168</v>
      </c>
      <c r="F11" s="11">
        <f t="shared" si="7"/>
        <v>0.68075393066868728</v>
      </c>
      <c r="G11" s="9">
        <v>51</v>
      </c>
      <c r="R11" s="2"/>
      <c r="S11" s="2" t="s">
        <v>8</v>
      </c>
      <c r="T11" s="4">
        <f t="shared" si="3"/>
        <v>1.0926421404682274</v>
      </c>
      <c r="U11" s="2" t="s">
        <v>3</v>
      </c>
      <c r="V11" s="2" t="s">
        <v>9</v>
      </c>
      <c r="W11" s="3">
        <f t="shared" si="4"/>
        <v>51</v>
      </c>
      <c r="X11" s="2" t="s">
        <v>4</v>
      </c>
      <c r="Y11" s="2" t="s">
        <v>8</v>
      </c>
      <c r="Z11" s="4">
        <f t="shared" si="5"/>
        <v>0.68075393066868728</v>
      </c>
      <c r="AA11" s="2" t="s">
        <v>3</v>
      </c>
      <c r="AB11" s="2" t="s">
        <v>9</v>
      </c>
      <c r="AC11" s="3">
        <f t="shared" si="6"/>
        <v>51</v>
      </c>
      <c r="AD11" s="2" t="s">
        <v>4</v>
      </c>
    </row>
    <row r="12" spans="1:30" x14ac:dyDescent="0.25">
      <c r="C12" s="9">
        <f t="shared" si="0"/>
        <v>640.58823529411757</v>
      </c>
      <c r="D12" s="10">
        <f t="shared" si="1"/>
        <v>1.2885263535317317</v>
      </c>
      <c r="E12" s="9">
        <f t="shared" si="2"/>
        <v>533.74176749885123</v>
      </c>
      <c r="F12" s="11">
        <f>(($B$2*E12)/($B$6+E12))*$A$6/($A$6+$A$7)</f>
        <v>0.78952445625037437</v>
      </c>
      <c r="G12" s="9">
        <v>43</v>
      </c>
      <c r="R12" s="2"/>
      <c r="S12" s="2" t="s">
        <v>8</v>
      </c>
      <c r="T12" s="4">
        <f t="shared" si="3"/>
        <v>1.2885263535317317</v>
      </c>
      <c r="U12" s="2" t="s">
        <v>3</v>
      </c>
      <c r="V12" s="2" t="s">
        <v>9</v>
      </c>
      <c r="W12" s="3">
        <f t="shared" si="4"/>
        <v>43</v>
      </c>
      <c r="X12" s="2" t="s">
        <v>4</v>
      </c>
      <c r="Y12" s="2" t="s">
        <v>8</v>
      </c>
      <c r="Z12" s="4">
        <f t="shared" si="5"/>
        <v>0.78952445625037437</v>
      </c>
      <c r="AA12" s="2" t="s">
        <v>3</v>
      </c>
      <c r="AB12" s="2" t="s">
        <v>9</v>
      </c>
      <c r="AC12" s="3">
        <f t="shared" si="6"/>
        <v>43</v>
      </c>
      <c r="AD12" s="2" t="s">
        <v>4</v>
      </c>
    </row>
    <row r="13" spans="1:30" x14ac:dyDescent="0.25">
      <c r="C13" s="9">
        <f t="shared" si="0"/>
        <v>939.2307692307694</v>
      </c>
      <c r="D13" s="10">
        <f t="shared" si="1"/>
        <v>1.5982943276477588</v>
      </c>
      <c r="E13" s="9">
        <f t="shared" si="2"/>
        <v>726.11038840364245</v>
      </c>
      <c r="F13" s="11">
        <f t="shared" si="7"/>
        <v>0.9543786740164939</v>
      </c>
      <c r="G13" s="9">
        <v>34</v>
      </c>
      <c r="R13" s="2"/>
      <c r="S13" s="2" t="s">
        <v>8</v>
      </c>
      <c r="T13" s="4">
        <f t="shared" si="3"/>
        <v>1.5982943276477588</v>
      </c>
      <c r="U13" s="2" t="s">
        <v>3</v>
      </c>
      <c r="V13" s="2" t="s">
        <v>9</v>
      </c>
      <c r="W13" s="3">
        <f t="shared" si="4"/>
        <v>34</v>
      </c>
      <c r="X13" s="2" t="s">
        <v>4</v>
      </c>
      <c r="Y13" s="2" t="s">
        <v>8</v>
      </c>
      <c r="Z13" s="4">
        <f t="shared" si="5"/>
        <v>0.9543786740164939</v>
      </c>
      <c r="AA13" s="2" t="s">
        <v>3</v>
      </c>
      <c r="AB13" s="2" t="s">
        <v>9</v>
      </c>
      <c r="AC13" s="3">
        <f t="shared" si="6"/>
        <v>34</v>
      </c>
      <c r="AD13" s="2" t="s">
        <v>4</v>
      </c>
    </row>
    <row r="14" spans="1:30" x14ac:dyDescent="0.25">
      <c r="C14" s="9">
        <f t="shared" si="0"/>
        <v>1320</v>
      </c>
      <c r="D14" s="10">
        <f t="shared" si="1"/>
        <v>1.8775862068965516</v>
      </c>
      <c r="E14" s="9">
        <f t="shared" si="2"/>
        <v>934.51327433628319</v>
      </c>
      <c r="F14" s="11">
        <f>(($B$2*E14)/($B$6+E14))*$A$6/($A$6+$A$7)</f>
        <v>1.0959743824336687</v>
      </c>
      <c r="G14" s="9">
        <v>25</v>
      </c>
      <c r="R14" s="2"/>
      <c r="S14" s="2" t="s">
        <v>8</v>
      </c>
      <c r="T14" s="4">
        <f t="shared" si="3"/>
        <v>1.8775862068965516</v>
      </c>
      <c r="U14" s="2" t="s">
        <v>3</v>
      </c>
      <c r="V14" s="2" t="s">
        <v>9</v>
      </c>
      <c r="W14" s="3">
        <f t="shared" si="4"/>
        <v>25</v>
      </c>
      <c r="X14" s="2" t="s">
        <v>4</v>
      </c>
      <c r="Y14" s="2" t="s">
        <v>8</v>
      </c>
      <c r="Z14" s="4">
        <f t="shared" si="5"/>
        <v>1.0959743824336687</v>
      </c>
      <c r="AA14" s="2" t="s">
        <v>3</v>
      </c>
      <c r="AB14" s="2" t="s">
        <v>9</v>
      </c>
      <c r="AC14" s="3">
        <f t="shared" si="6"/>
        <v>25</v>
      </c>
      <c r="AD14" s="2" t="s">
        <v>4</v>
      </c>
    </row>
    <row r="15" spans="1:30" x14ac:dyDescent="0.25">
      <c r="C15" s="9">
        <f t="shared" si="0"/>
        <v>2027.1428571428567</v>
      </c>
      <c r="D15" s="10">
        <f t="shared" si="1"/>
        <v>2.2098631429919768</v>
      </c>
      <c r="E15" s="9">
        <f t="shared" si="2"/>
        <v>1240.9948073244052</v>
      </c>
      <c r="F15" s="11">
        <f t="shared" si="7"/>
        <v>1.2563647893851069</v>
      </c>
      <c r="G15" s="9">
        <v>13</v>
      </c>
      <c r="R15" s="2"/>
      <c r="S15" s="2" t="s">
        <v>8</v>
      </c>
      <c r="T15" s="4">
        <f t="shared" si="3"/>
        <v>2.2098631429919768</v>
      </c>
      <c r="U15" s="2" t="s">
        <v>3</v>
      </c>
      <c r="V15" s="2" t="s">
        <v>9</v>
      </c>
      <c r="W15" s="3">
        <f t="shared" si="4"/>
        <v>13</v>
      </c>
      <c r="X15" s="2" t="s">
        <v>4</v>
      </c>
      <c r="Y15" s="2" t="s">
        <v>8</v>
      </c>
      <c r="Z15" s="4">
        <f t="shared" si="5"/>
        <v>1.2563647893851069</v>
      </c>
      <c r="AA15" s="2" t="s">
        <v>3</v>
      </c>
      <c r="AB15" s="2" t="s">
        <v>9</v>
      </c>
      <c r="AC15" s="3">
        <f t="shared" si="6"/>
        <v>13</v>
      </c>
      <c r="AD15" s="2" t="s">
        <v>4</v>
      </c>
    </row>
    <row r="16" spans="1:30" x14ac:dyDescent="0.25">
      <c r="C16" s="9">
        <f t="shared" si="0"/>
        <v>5170.0000000000027</v>
      </c>
      <c r="D16" s="10">
        <f t="shared" si="1"/>
        <v>2.7651539708265802</v>
      </c>
      <c r="E16" s="9">
        <f t="shared" si="2"/>
        <v>1976.5830346475511</v>
      </c>
      <c r="F16" s="11">
        <f t="shared" si="7"/>
        <v>1.5065505338363969</v>
      </c>
      <c r="G16" s="9">
        <v>0</v>
      </c>
      <c r="R16" s="2"/>
      <c r="S16" s="2" t="s">
        <v>8</v>
      </c>
      <c r="T16" s="4">
        <f t="shared" si="3"/>
        <v>2.7651539708265802</v>
      </c>
      <c r="U16" s="2" t="s">
        <v>3</v>
      </c>
      <c r="V16" s="2" t="s">
        <v>9</v>
      </c>
      <c r="W16" s="3">
        <f t="shared" si="4"/>
        <v>0</v>
      </c>
      <c r="X16" s="2" t="s">
        <v>4</v>
      </c>
      <c r="Y16" s="2" t="s">
        <v>8</v>
      </c>
      <c r="Z16" s="4">
        <f t="shared" si="5"/>
        <v>1.5065505338363969</v>
      </c>
      <c r="AA16" s="2" t="s">
        <v>3</v>
      </c>
      <c r="AB16" s="2" t="s">
        <v>9</v>
      </c>
      <c r="AC16" s="3">
        <f t="shared" si="6"/>
        <v>0</v>
      </c>
      <c r="AD16" s="2" t="s">
        <v>4</v>
      </c>
    </row>
    <row r="17" spans="1:30" x14ac:dyDescent="0.25">
      <c r="C17" s="9"/>
      <c r="G17" s="9"/>
      <c r="R17" s="2"/>
      <c r="S17" s="2" t="s">
        <v>8</v>
      </c>
      <c r="T17" s="4">
        <f t="shared" si="3"/>
        <v>0</v>
      </c>
      <c r="U17" s="2" t="s">
        <v>3</v>
      </c>
      <c r="V17" s="2" t="s">
        <v>9</v>
      </c>
      <c r="W17" s="3">
        <f t="shared" si="4"/>
        <v>0</v>
      </c>
      <c r="X17" s="2" t="s">
        <v>4</v>
      </c>
      <c r="Y17" s="2" t="s">
        <v>8</v>
      </c>
      <c r="Z17" s="4">
        <f t="shared" si="5"/>
        <v>0</v>
      </c>
      <c r="AA17" s="2" t="s">
        <v>3</v>
      </c>
      <c r="AB17" s="2" t="s">
        <v>9</v>
      </c>
      <c r="AC17" s="3">
        <f t="shared" si="6"/>
        <v>0</v>
      </c>
      <c r="AD17" s="2" t="s">
        <v>4</v>
      </c>
    </row>
    <row r="18" spans="1:30" x14ac:dyDescent="0.25">
      <c r="C18" s="9"/>
      <c r="G18" s="9"/>
      <c r="R18" s="2"/>
      <c r="S18" s="2" t="s">
        <v>8</v>
      </c>
      <c r="T18" s="4">
        <f t="shared" si="3"/>
        <v>0</v>
      </c>
      <c r="U18" s="2" t="s">
        <v>3</v>
      </c>
      <c r="V18" s="2" t="s">
        <v>9</v>
      </c>
      <c r="W18" s="3">
        <f t="shared" si="4"/>
        <v>0</v>
      </c>
      <c r="X18" s="2" t="s">
        <v>4</v>
      </c>
      <c r="Y18" s="2" t="s">
        <v>8</v>
      </c>
      <c r="Z18" s="4">
        <f t="shared" si="5"/>
        <v>0</v>
      </c>
      <c r="AA18" s="2" t="s">
        <v>3</v>
      </c>
      <c r="AB18" s="2" t="s">
        <v>9</v>
      </c>
      <c r="AC18" s="3">
        <f t="shared" si="6"/>
        <v>0</v>
      </c>
      <c r="AD18" s="2" t="s">
        <v>4</v>
      </c>
    </row>
    <row r="19" spans="1:30" x14ac:dyDescent="0.25">
      <c r="C19" s="9"/>
      <c r="G19" s="9"/>
      <c r="R19" s="2"/>
      <c r="S19" s="2" t="s">
        <v>8</v>
      </c>
      <c r="T19" s="4">
        <f t="shared" si="3"/>
        <v>0</v>
      </c>
      <c r="U19" s="2" t="s">
        <v>3</v>
      </c>
      <c r="V19" s="2" t="s">
        <v>9</v>
      </c>
      <c r="W19" s="3">
        <f t="shared" si="4"/>
        <v>0</v>
      </c>
      <c r="X19" s="2" t="s">
        <v>4</v>
      </c>
      <c r="Y19" s="2" t="s">
        <v>8</v>
      </c>
      <c r="Z19" s="4">
        <f t="shared" si="5"/>
        <v>0</v>
      </c>
      <c r="AA19" s="2" t="s">
        <v>3</v>
      </c>
      <c r="AB19" s="2" t="s">
        <v>9</v>
      </c>
      <c r="AC19" s="3">
        <f t="shared" si="6"/>
        <v>0</v>
      </c>
      <c r="AD19" s="2" t="s">
        <v>4</v>
      </c>
    </row>
    <row r="20" spans="1:30" x14ac:dyDescent="0.25">
      <c r="C20" s="9"/>
      <c r="G20" s="9"/>
      <c r="R20" s="2"/>
      <c r="S20" s="2" t="s">
        <v>8</v>
      </c>
      <c r="T20" s="4">
        <f t="shared" si="3"/>
        <v>0</v>
      </c>
      <c r="U20" s="2" t="s">
        <v>3</v>
      </c>
      <c r="V20" s="2" t="s">
        <v>9</v>
      </c>
      <c r="W20" s="3">
        <f t="shared" si="4"/>
        <v>0</v>
      </c>
      <c r="X20" s="2" t="s">
        <v>5</v>
      </c>
      <c r="Y20" s="2" t="s">
        <v>8</v>
      </c>
      <c r="Z20" s="4">
        <f t="shared" si="5"/>
        <v>0</v>
      </c>
      <c r="AA20" s="2" t="s">
        <v>3</v>
      </c>
      <c r="AB20" s="2" t="s">
        <v>9</v>
      </c>
      <c r="AC20" s="3">
        <f t="shared" si="6"/>
        <v>0</v>
      </c>
      <c r="AD20" s="2" t="s">
        <v>5</v>
      </c>
    </row>
    <row r="21" spans="1:30" x14ac:dyDescent="0.25">
      <c r="C21" s="9"/>
      <c r="G21" s="9"/>
      <c r="S21" s="2" t="s">
        <v>7</v>
      </c>
      <c r="T21" s="4"/>
      <c r="U21" s="2"/>
      <c r="V21" s="2"/>
      <c r="W21" s="3"/>
      <c r="X21" s="2"/>
      <c r="Y21" s="2" t="s">
        <v>7</v>
      </c>
      <c r="Z21" s="4"/>
      <c r="AA21" s="2"/>
      <c r="AB21" s="2"/>
      <c r="AC21" s="3"/>
      <c r="AD21" s="2"/>
    </row>
    <row r="22" spans="1:30" x14ac:dyDescent="0.25">
      <c r="C22" s="9"/>
      <c r="G22" s="9"/>
    </row>
    <row r="23" spans="1:30" x14ac:dyDescent="0.25">
      <c r="C23" s="9"/>
      <c r="G23" s="9"/>
    </row>
    <row r="24" spans="1:30" x14ac:dyDescent="0.25">
      <c r="A24" t="s">
        <v>24</v>
      </c>
      <c r="C24" s="9"/>
      <c r="G24" s="9"/>
    </row>
    <row r="25" spans="1:30" x14ac:dyDescent="0.25">
      <c r="A25" t="s">
        <v>10</v>
      </c>
      <c r="B25" t="s">
        <v>2</v>
      </c>
      <c r="C25" s="9" t="s">
        <v>12</v>
      </c>
      <c r="D25" t="s">
        <v>0</v>
      </c>
      <c r="G25" s="9" t="s">
        <v>1</v>
      </c>
    </row>
    <row r="26" spans="1:30" x14ac:dyDescent="0.25">
      <c r="A26">
        <v>330</v>
      </c>
      <c r="B26">
        <v>5</v>
      </c>
      <c r="C26" s="9">
        <f>($A$26*D26)/($B$26-D26)</f>
        <v>0</v>
      </c>
      <c r="D26">
        <v>0</v>
      </c>
      <c r="G26" s="9">
        <v>200</v>
      </c>
    </row>
    <row r="27" spans="1:30" x14ac:dyDescent="0.25">
      <c r="C27" s="9">
        <f t="shared" ref="C27:C40" si="8">($A$26*D27)/($B$26-D27)</f>
        <v>21.063829787234042</v>
      </c>
      <c r="D27">
        <v>0.3</v>
      </c>
      <c r="G27" s="9">
        <v>174</v>
      </c>
    </row>
    <row r="28" spans="1:30" x14ac:dyDescent="0.25">
      <c r="C28">
        <f t="shared" si="8"/>
        <v>53.720930232558132</v>
      </c>
      <c r="D28">
        <v>0.7</v>
      </c>
      <c r="G28">
        <v>135</v>
      </c>
    </row>
    <row r="29" spans="1:30" x14ac:dyDescent="0.25">
      <c r="C29">
        <f t="shared" si="8"/>
        <v>82.5</v>
      </c>
      <c r="D29">
        <v>1</v>
      </c>
      <c r="G29">
        <v>113</v>
      </c>
    </row>
    <row r="30" spans="1:30" x14ac:dyDescent="0.25">
      <c r="C30">
        <f t="shared" si="8"/>
        <v>115.94594594594594</v>
      </c>
      <c r="D30">
        <v>1.3</v>
      </c>
      <c r="G30">
        <v>98</v>
      </c>
    </row>
    <row r="31" spans="1:30" x14ac:dyDescent="0.25">
      <c r="C31">
        <f t="shared" si="8"/>
        <v>170</v>
      </c>
      <c r="D31">
        <v>1.7</v>
      </c>
      <c r="G31">
        <v>87</v>
      </c>
    </row>
    <row r="32" spans="1:30" x14ac:dyDescent="0.25">
      <c r="C32">
        <f t="shared" si="8"/>
        <v>220</v>
      </c>
      <c r="D32">
        <v>2</v>
      </c>
      <c r="G32">
        <v>76</v>
      </c>
    </row>
    <row r="33" spans="3:27" x14ac:dyDescent="0.25">
      <c r="C33">
        <f t="shared" si="8"/>
        <v>281.11111111111103</v>
      </c>
      <c r="D33">
        <v>2.2999999999999998</v>
      </c>
      <c r="G33">
        <v>67</v>
      </c>
    </row>
    <row r="34" spans="3:27" x14ac:dyDescent="0.25">
      <c r="C34">
        <f t="shared" si="8"/>
        <v>387.39130434782618</v>
      </c>
      <c r="D34">
        <v>2.7</v>
      </c>
      <c r="G34">
        <v>59</v>
      </c>
    </row>
    <row r="35" spans="3:27" x14ac:dyDescent="0.25">
      <c r="C35">
        <f t="shared" si="8"/>
        <v>495</v>
      </c>
      <c r="D35">
        <v>3</v>
      </c>
      <c r="G35">
        <v>51</v>
      </c>
    </row>
    <row r="36" spans="3:27" x14ac:dyDescent="0.25">
      <c r="C36">
        <f t="shared" si="8"/>
        <v>640.58823529411757</v>
      </c>
      <c r="D36">
        <v>3.3</v>
      </c>
      <c r="G36">
        <v>43</v>
      </c>
    </row>
    <row r="37" spans="3:27" x14ac:dyDescent="0.25">
      <c r="C37">
        <f t="shared" si="8"/>
        <v>939.2307692307694</v>
      </c>
      <c r="D37">
        <v>3.7</v>
      </c>
      <c r="G37">
        <v>34</v>
      </c>
    </row>
    <row r="38" spans="3:27" x14ac:dyDescent="0.25">
      <c r="C38">
        <f t="shared" si="8"/>
        <v>1320</v>
      </c>
      <c r="D38">
        <v>4</v>
      </c>
      <c r="G38">
        <v>25</v>
      </c>
    </row>
    <row r="39" spans="3:27" x14ac:dyDescent="0.25">
      <c r="C39">
        <f t="shared" si="8"/>
        <v>2027.1428571428567</v>
      </c>
      <c r="D39">
        <v>4.3</v>
      </c>
      <c r="G39">
        <v>13</v>
      </c>
    </row>
    <row r="40" spans="3:27" x14ac:dyDescent="0.25">
      <c r="C40">
        <f t="shared" si="8"/>
        <v>5170.0000000000027</v>
      </c>
      <c r="D40">
        <v>4.7</v>
      </c>
      <c r="G40">
        <v>0</v>
      </c>
    </row>
    <row r="45" spans="3:27" x14ac:dyDescent="0.25">
      <c r="T45"/>
      <c r="U45">
        <v>71.900000000000006</v>
      </c>
      <c r="Z45"/>
      <c r="AA45">
        <v>71.900000000000006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2653-DA5C-4691-9AF3-58B474D2357C}">
  <dimension ref="A1:AD45"/>
  <sheetViews>
    <sheetView zoomScaleNormal="100" workbookViewId="0">
      <selection activeCell="D2" sqref="D2:D11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3" max="13" width="9.14062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5.5703125" style="13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5.5703125" style="13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12"/>
      <c r="X1" s="2"/>
      <c r="Y1" s="2" t="s">
        <v>17</v>
      </c>
      <c r="Z1" s="4"/>
      <c r="AA1" s="2"/>
      <c r="AB1" s="2"/>
      <c r="AC1" s="12"/>
      <c r="AD1" s="2"/>
    </row>
    <row r="2" spans="1:30" x14ac:dyDescent="0.25">
      <c r="A2">
        <v>1000</v>
      </c>
      <c r="B2">
        <v>3.3</v>
      </c>
      <c r="C2" s="9">
        <v>149.41182456497407</v>
      </c>
      <c r="D2" s="10">
        <f>($B$2*C2)/($A$2+C2)</f>
        <v>0.42896637264979065</v>
      </c>
      <c r="E2" s="9">
        <f>C2*($A$6+$A$7)/(C2+$A$6+$A$7)</f>
        <v>142.74680560370194</v>
      </c>
      <c r="F2" s="11">
        <f>(($B$2*E2)/($B$6+E2))*$A$6/($A$6+$A$7)</f>
        <v>0.28340207439241838</v>
      </c>
      <c r="G2" s="9">
        <v>142.5</v>
      </c>
      <c r="R2" s="2"/>
      <c r="S2" s="2" t="s">
        <v>8</v>
      </c>
      <c r="T2" s="4">
        <f>D2</f>
        <v>0.42896637264979065</v>
      </c>
      <c r="U2" s="2" t="s">
        <v>3</v>
      </c>
      <c r="V2" s="2" t="s">
        <v>9</v>
      </c>
      <c r="W2" s="12">
        <f>G2</f>
        <v>142.5</v>
      </c>
      <c r="X2" s="2" t="s">
        <v>4</v>
      </c>
      <c r="Y2" s="2" t="s">
        <v>8</v>
      </c>
      <c r="Z2" s="4">
        <f>F2</f>
        <v>0.28340207439241838</v>
      </c>
      <c r="AA2" s="2" t="s">
        <v>3</v>
      </c>
      <c r="AB2" s="2" t="s">
        <v>9</v>
      </c>
      <c r="AC2" s="12">
        <f>G2</f>
        <v>142.5</v>
      </c>
      <c r="AD2" s="2" t="s">
        <v>4</v>
      </c>
    </row>
    <row r="3" spans="1:30" x14ac:dyDescent="0.25">
      <c r="C3" s="9">
        <v>349.14693326522422</v>
      </c>
      <c r="D3" s="10">
        <f t="shared" ref="D3:D16" si="0">($B$2*C3)/($A$2+C3)</f>
        <v>0.85400993128799241</v>
      </c>
      <c r="E3" s="9">
        <f t="shared" ref="E3:E16" si="1">C3*($A$6+$A$7)/(C3+$A$6+$A$7)</f>
        <v>314.79964269070882</v>
      </c>
      <c r="F3" s="11">
        <f>(($B$2*E3)/($B$6+E3))*$A$6/($A$6+$A$7)</f>
        <v>0.54320191926197003</v>
      </c>
      <c r="G3" s="9">
        <v>110.25</v>
      </c>
      <c r="R3" s="2"/>
      <c r="S3" s="2" t="s">
        <v>8</v>
      </c>
      <c r="T3" s="4">
        <f t="shared" ref="T3:T20" si="2">D3</f>
        <v>0.85400993128799241</v>
      </c>
      <c r="U3" s="2" t="s">
        <v>3</v>
      </c>
      <c r="V3" s="2" t="s">
        <v>9</v>
      </c>
      <c r="W3" s="12">
        <f t="shared" ref="W3:W20" si="3">G3</f>
        <v>110.25</v>
      </c>
      <c r="X3" s="2" t="s">
        <v>4</v>
      </c>
      <c r="Y3" s="2" t="s">
        <v>8</v>
      </c>
      <c r="Z3" s="4">
        <f t="shared" ref="Z3:Z20" si="4">F3</f>
        <v>0.54320191926197003</v>
      </c>
      <c r="AA3" s="2" t="s">
        <v>3</v>
      </c>
      <c r="AB3" s="2" t="s">
        <v>9</v>
      </c>
      <c r="AC3" s="12">
        <f t="shared" ref="AC3:AC20" si="5">G3</f>
        <v>110.25</v>
      </c>
      <c r="AD3" s="2" t="s">
        <v>4</v>
      </c>
    </row>
    <row r="4" spans="1:30" x14ac:dyDescent="0.25">
      <c r="A4" t="s">
        <v>13</v>
      </c>
      <c r="C4" s="9">
        <v>464.21325385827305</v>
      </c>
      <c r="D4" s="10">
        <f t="shared" si="0"/>
        <v>1.046229935219928</v>
      </c>
      <c r="E4" s="9">
        <f t="shared" si="1"/>
        <v>405.40282713685366</v>
      </c>
      <c r="F4" s="11">
        <f>(($B$2*E4)/($B$6+E4))*$A$6/($A$6+$A$7)</f>
        <v>0.65444415388042598</v>
      </c>
      <c r="G4" s="9">
        <v>100.5</v>
      </c>
      <c r="R4" s="2"/>
      <c r="S4" s="2" t="s">
        <v>8</v>
      </c>
      <c r="T4" s="4">
        <f t="shared" si="2"/>
        <v>1.046229935219928</v>
      </c>
      <c r="U4" s="2" t="s">
        <v>3</v>
      </c>
      <c r="V4" s="2" t="s">
        <v>9</v>
      </c>
      <c r="W4" s="12">
        <f t="shared" si="3"/>
        <v>100.5</v>
      </c>
      <c r="X4" s="2" t="s">
        <v>4</v>
      </c>
      <c r="Y4" s="2" t="s">
        <v>8</v>
      </c>
      <c r="Z4" s="4">
        <f t="shared" si="4"/>
        <v>0.65444415388042598</v>
      </c>
      <c r="AA4" s="2" t="s">
        <v>3</v>
      </c>
      <c r="AB4" s="2" t="s">
        <v>9</v>
      </c>
      <c r="AC4" s="12">
        <f t="shared" si="5"/>
        <v>100.5</v>
      </c>
      <c r="AD4" s="2" t="s">
        <v>4</v>
      </c>
    </row>
    <row r="5" spans="1:30" x14ac:dyDescent="0.25">
      <c r="A5" t="s">
        <v>11</v>
      </c>
      <c r="B5" t="s">
        <v>14</v>
      </c>
      <c r="C5" s="9">
        <v>626.61393038811229</v>
      </c>
      <c r="D5" s="10">
        <f>($B$2*C5)/($A$2+C5)</f>
        <v>1.2712457035133005</v>
      </c>
      <c r="E5" s="9">
        <f t="shared" si="1"/>
        <v>524.00493326970843</v>
      </c>
      <c r="F5" s="11">
        <f>(($B$2*E5)/($B$6+E5))*$A$6/($A$6+$A$7)</f>
        <v>0.78007371656273927</v>
      </c>
      <c r="G5" s="9">
        <v>90.75</v>
      </c>
      <c r="R5" s="2"/>
      <c r="S5" s="2" t="s">
        <v>8</v>
      </c>
      <c r="T5" s="4">
        <f t="shared" si="2"/>
        <v>1.2712457035133005</v>
      </c>
      <c r="U5" s="2" t="s">
        <v>3</v>
      </c>
      <c r="V5" s="2" t="s">
        <v>9</v>
      </c>
      <c r="W5" s="12">
        <f t="shared" si="3"/>
        <v>90.75</v>
      </c>
      <c r="X5" s="2" t="s">
        <v>4</v>
      </c>
      <c r="Y5" s="2" t="s">
        <v>8</v>
      </c>
      <c r="Z5" s="4">
        <f t="shared" si="4"/>
        <v>0.78007371656273927</v>
      </c>
      <c r="AA5" s="2" t="s">
        <v>3</v>
      </c>
      <c r="AB5" s="2" t="s">
        <v>9</v>
      </c>
      <c r="AC5" s="12">
        <f t="shared" si="5"/>
        <v>90.75</v>
      </c>
      <c r="AD5" s="2" t="s">
        <v>4</v>
      </c>
    </row>
    <row r="6" spans="1:30" x14ac:dyDescent="0.25">
      <c r="A6">
        <v>2200</v>
      </c>
      <c r="B6">
        <v>1000</v>
      </c>
      <c r="C6" s="9">
        <v>859.87192457541369</v>
      </c>
      <c r="D6" s="10">
        <f>($B$2*C6)/($A$2+C6)</f>
        <v>1.5256842762152292</v>
      </c>
      <c r="E6" s="9">
        <f t="shared" si="1"/>
        <v>677.75294633933277</v>
      </c>
      <c r="F6" s="11">
        <f t="shared" ref="F6:F16" si="6">(($B$2*E6)/($B$6+E6))*$A$6/($A$6+$A$7)</f>
        <v>0.91649488702275506</v>
      </c>
      <c r="G6" s="9">
        <v>80.25</v>
      </c>
      <c r="R6" s="2"/>
      <c r="S6" s="2" t="s">
        <v>8</v>
      </c>
      <c r="T6" s="4">
        <f t="shared" si="2"/>
        <v>1.5256842762152292</v>
      </c>
      <c r="U6" s="2" t="s">
        <v>3</v>
      </c>
      <c r="V6" s="2" t="s">
        <v>9</v>
      </c>
      <c r="W6" s="12">
        <f t="shared" si="3"/>
        <v>80.25</v>
      </c>
      <c r="X6" s="2" t="s">
        <v>4</v>
      </c>
      <c r="Y6" s="2" t="s">
        <v>8</v>
      </c>
      <c r="Z6" s="4">
        <f t="shared" si="4"/>
        <v>0.91649488702275506</v>
      </c>
      <c r="AA6" s="2" t="s">
        <v>3</v>
      </c>
      <c r="AB6" s="2" t="s">
        <v>9</v>
      </c>
      <c r="AC6" s="12">
        <f t="shared" si="5"/>
        <v>80.25</v>
      </c>
      <c r="AD6" s="2" t="s">
        <v>4</v>
      </c>
    </row>
    <row r="7" spans="1:30" x14ac:dyDescent="0.25">
      <c r="A7">
        <v>1000</v>
      </c>
      <c r="C7" s="9">
        <v>1198.932609571669</v>
      </c>
      <c r="D7" s="10">
        <f>($B$2*C7)/($A$2+C7)</f>
        <v>1.7992718805317056</v>
      </c>
      <c r="E7" s="9">
        <f t="shared" si="1"/>
        <v>872.16256559177327</v>
      </c>
      <c r="F7" s="11">
        <f>(($B$2*E7)/($B$6+E7))*$A$6/($A$6+$A$7)</f>
        <v>1.0569161338085407</v>
      </c>
      <c r="G7" s="9">
        <v>70.5</v>
      </c>
      <c r="R7" s="2"/>
      <c r="S7" s="2" t="s">
        <v>8</v>
      </c>
      <c r="T7" s="4">
        <f t="shared" si="2"/>
        <v>1.7992718805317056</v>
      </c>
      <c r="U7" s="2" t="s">
        <v>3</v>
      </c>
      <c r="V7" s="2" t="s">
        <v>9</v>
      </c>
      <c r="W7" s="12">
        <f t="shared" si="3"/>
        <v>70.5</v>
      </c>
      <c r="X7" s="2" t="s">
        <v>4</v>
      </c>
      <c r="Y7" s="2" t="s">
        <v>8</v>
      </c>
      <c r="Z7" s="4">
        <f t="shared" si="4"/>
        <v>1.0569161338085407</v>
      </c>
      <c r="AA7" s="2" t="s">
        <v>3</v>
      </c>
      <c r="AB7" s="2" t="s">
        <v>9</v>
      </c>
      <c r="AC7" s="12">
        <f t="shared" si="5"/>
        <v>70.5</v>
      </c>
      <c r="AD7" s="2" t="s">
        <v>4</v>
      </c>
    </row>
    <row r="8" spans="1:30" x14ac:dyDescent="0.25">
      <c r="C8" s="9">
        <v>1702.0321086089859</v>
      </c>
      <c r="D8" s="10">
        <f t="shared" si="0"/>
        <v>2.0786969705186626</v>
      </c>
      <c r="E8" s="9">
        <f t="shared" si="1"/>
        <v>1111.0703942521236</v>
      </c>
      <c r="F8" s="11">
        <f>(($B$2*E8)/($B$6+E8))*$A$6/($A$6+$A$7)</f>
        <v>1.1940582198598417</v>
      </c>
      <c r="G8" s="9">
        <v>60.75</v>
      </c>
      <c r="R8" s="2"/>
      <c r="S8" s="2" t="s">
        <v>8</v>
      </c>
      <c r="T8" s="4">
        <f t="shared" si="2"/>
        <v>2.0786969705186626</v>
      </c>
      <c r="U8" s="2" t="s">
        <v>3</v>
      </c>
      <c r="V8" s="2" t="s">
        <v>9</v>
      </c>
      <c r="W8" s="12">
        <f t="shared" si="3"/>
        <v>60.75</v>
      </c>
      <c r="X8" s="2" t="s">
        <v>4</v>
      </c>
      <c r="Y8" s="2" t="s">
        <v>8</v>
      </c>
      <c r="Z8" s="4">
        <f t="shared" si="4"/>
        <v>1.1940582198598417</v>
      </c>
      <c r="AA8" s="2" t="s">
        <v>3</v>
      </c>
      <c r="AB8" s="2" t="s">
        <v>9</v>
      </c>
      <c r="AC8" s="12">
        <f t="shared" si="5"/>
        <v>60.75</v>
      </c>
      <c r="AD8" s="2" t="s">
        <v>4</v>
      </c>
    </row>
    <row r="9" spans="1:30" x14ac:dyDescent="0.25">
      <c r="C9" s="9">
        <v>2458.1733490191091</v>
      </c>
      <c r="D9" s="10">
        <f t="shared" si="0"/>
        <v>2.3457389879151007</v>
      </c>
      <c r="E9" s="9">
        <f t="shared" si="1"/>
        <v>1390.2286536033421</v>
      </c>
      <c r="F9" s="11">
        <f t="shared" si="6"/>
        <v>1.3195730262490617</v>
      </c>
      <c r="G9" s="9">
        <v>50.25</v>
      </c>
      <c r="R9" s="2"/>
      <c r="S9" s="2" t="s">
        <v>8</v>
      </c>
      <c r="T9" s="4">
        <f t="shared" si="2"/>
        <v>2.3457389879151007</v>
      </c>
      <c r="U9" s="2" t="s">
        <v>3</v>
      </c>
      <c r="V9" s="2" t="s">
        <v>9</v>
      </c>
      <c r="W9" s="12">
        <f t="shared" si="3"/>
        <v>50.25</v>
      </c>
      <c r="X9" s="2" t="s">
        <v>4</v>
      </c>
      <c r="Y9" s="2" t="s">
        <v>8</v>
      </c>
      <c r="Z9" s="4">
        <f t="shared" si="4"/>
        <v>1.3195730262490617</v>
      </c>
      <c r="AA9" s="2" t="s">
        <v>3</v>
      </c>
      <c r="AB9" s="2" t="s">
        <v>9</v>
      </c>
      <c r="AC9" s="12">
        <f t="shared" si="5"/>
        <v>50.25</v>
      </c>
      <c r="AD9" s="2" t="s">
        <v>4</v>
      </c>
    </row>
    <row r="10" spans="1:30" x14ac:dyDescent="0.25">
      <c r="C10" s="9">
        <v>5492.8161066940238</v>
      </c>
      <c r="D10" s="10">
        <f t="shared" si="0"/>
        <v>2.7917459626497454</v>
      </c>
      <c r="E10" s="9">
        <f t="shared" si="1"/>
        <v>2022.0158031279941</v>
      </c>
      <c r="F10" s="11">
        <f t="shared" si="6"/>
        <v>1.518009385853744</v>
      </c>
      <c r="G10" s="9">
        <v>30</v>
      </c>
      <c r="R10" s="2"/>
      <c r="S10" s="2" t="s">
        <v>8</v>
      </c>
      <c r="T10" s="4">
        <f t="shared" si="2"/>
        <v>2.7917459626497454</v>
      </c>
      <c r="U10" s="2" t="s">
        <v>3</v>
      </c>
      <c r="V10" s="2" t="s">
        <v>9</v>
      </c>
      <c r="W10" s="12">
        <f t="shared" si="3"/>
        <v>30</v>
      </c>
      <c r="X10" s="2" t="s">
        <v>4</v>
      </c>
      <c r="Y10" s="2" t="s">
        <v>8</v>
      </c>
      <c r="Z10" s="4">
        <f t="shared" si="4"/>
        <v>1.518009385853744</v>
      </c>
      <c r="AA10" s="2" t="s">
        <v>3</v>
      </c>
      <c r="AB10" s="2" t="s">
        <v>9</v>
      </c>
      <c r="AC10" s="12">
        <f t="shared" si="5"/>
        <v>30</v>
      </c>
      <c r="AD10" s="2" t="s">
        <v>4</v>
      </c>
    </row>
    <row r="11" spans="1:30" x14ac:dyDescent="0.25">
      <c r="C11" s="9">
        <v>8526.1393077086414</v>
      </c>
      <c r="D11" s="10">
        <f t="shared" si="0"/>
        <v>2.9535847426323474</v>
      </c>
      <c r="E11" s="9">
        <f t="shared" si="1"/>
        <v>2326.7373061764383</v>
      </c>
      <c r="F11" s="11">
        <f t="shared" si="6"/>
        <v>1.5867755033098563</v>
      </c>
      <c r="G11" s="9">
        <v>20.25</v>
      </c>
      <c r="R11" s="2"/>
      <c r="S11" s="2" t="s">
        <v>8</v>
      </c>
      <c r="T11" s="4">
        <f t="shared" si="2"/>
        <v>2.9535847426323474</v>
      </c>
      <c r="U11" s="2" t="s">
        <v>3</v>
      </c>
      <c r="V11" s="2" t="s">
        <v>9</v>
      </c>
      <c r="W11" s="12">
        <f t="shared" si="3"/>
        <v>20.25</v>
      </c>
      <c r="X11" s="2" t="s">
        <v>4</v>
      </c>
      <c r="Y11" s="2" t="s">
        <v>8</v>
      </c>
      <c r="Z11" s="4">
        <f t="shared" si="4"/>
        <v>1.5867755033098563</v>
      </c>
      <c r="AA11" s="2" t="s">
        <v>3</v>
      </c>
      <c r="AB11" s="2" t="s">
        <v>9</v>
      </c>
      <c r="AC11" s="12">
        <f t="shared" si="5"/>
        <v>20.25</v>
      </c>
      <c r="AD11" s="2" t="s">
        <v>4</v>
      </c>
    </row>
    <row r="12" spans="1:30" x14ac:dyDescent="0.25">
      <c r="C12" s="9">
        <v>13596.934050031003</v>
      </c>
      <c r="D12" s="10">
        <f t="shared" si="0"/>
        <v>3.0739251277912709</v>
      </c>
      <c r="E12" s="9">
        <f t="shared" si="1"/>
        <v>2590.3649338921405</v>
      </c>
      <c r="F12" s="11">
        <f>(($B$2*E12)/($B$6+E12))*$A$6/($A$6+$A$7)</f>
        <v>1.6368504461180056</v>
      </c>
      <c r="G12" s="9">
        <v>10.5</v>
      </c>
      <c r="R12" s="2"/>
      <c r="S12" s="2" t="s">
        <v>8</v>
      </c>
      <c r="T12" s="4">
        <f t="shared" si="2"/>
        <v>3.0739251277912709</v>
      </c>
      <c r="U12" s="2" t="s">
        <v>3</v>
      </c>
      <c r="V12" s="2" t="s">
        <v>9</v>
      </c>
      <c r="W12" s="12">
        <f t="shared" si="3"/>
        <v>10.5</v>
      </c>
      <c r="X12" s="2" t="s">
        <v>4</v>
      </c>
      <c r="Y12" s="2" t="s">
        <v>8</v>
      </c>
      <c r="Z12" s="4">
        <f t="shared" si="4"/>
        <v>1.6368504461180056</v>
      </c>
      <c r="AA12" s="2" t="s">
        <v>3</v>
      </c>
      <c r="AB12" s="2" t="s">
        <v>9</v>
      </c>
      <c r="AC12" s="12">
        <f t="shared" si="5"/>
        <v>10.5</v>
      </c>
      <c r="AD12" s="2" t="s">
        <v>4</v>
      </c>
    </row>
    <row r="13" spans="1:30" x14ac:dyDescent="0.25">
      <c r="C13" s="9">
        <v>22138.105712928755</v>
      </c>
      <c r="D13" s="10">
        <f t="shared" si="0"/>
        <v>3.1573781258957561</v>
      </c>
      <c r="E13" s="9">
        <f t="shared" si="1"/>
        <v>2795.8656058974825</v>
      </c>
      <c r="F13" s="11">
        <f t="shared" si="6"/>
        <v>1.6710602407853596</v>
      </c>
      <c r="G13" s="9">
        <v>0</v>
      </c>
      <c r="R13" s="2"/>
      <c r="S13" s="2" t="s">
        <v>8</v>
      </c>
      <c r="T13" s="4">
        <f t="shared" si="2"/>
        <v>3.1573781258957561</v>
      </c>
      <c r="U13" s="2" t="s">
        <v>3</v>
      </c>
      <c r="V13" s="2" t="s">
        <v>9</v>
      </c>
      <c r="W13" s="12">
        <f t="shared" si="3"/>
        <v>0</v>
      </c>
      <c r="X13" s="2" t="s">
        <v>4</v>
      </c>
      <c r="Y13" s="2" t="s">
        <v>8</v>
      </c>
      <c r="Z13" s="4">
        <f t="shared" si="4"/>
        <v>1.6710602407853596</v>
      </c>
      <c r="AA13" s="2" t="s">
        <v>3</v>
      </c>
      <c r="AB13" s="2" t="s">
        <v>9</v>
      </c>
      <c r="AC13" s="12">
        <f t="shared" si="5"/>
        <v>0</v>
      </c>
      <c r="AD13" s="2" t="s">
        <v>4</v>
      </c>
    </row>
    <row r="14" spans="1:30" x14ac:dyDescent="0.25">
      <c r="C14" s="9">
        <v>37629.876256767217</v>
      </c>
      <c r="D14" s="10">
        <f t="shared" si="0"/>
        <v>3.214573891511705</v>
      </c>
      <c r="E14" s="9">
        <f t="shared" si="1"/>
        <v>2949.2032565662553</v>
      </c>
      <c r="F14" s="11">
        <f>(($B$2*E14)/($B$6+E14))*$A$6/($A$6+$A$7)</f>
        <v>1.6942670340428037</v>
      </c>
      <c r="G14" s="9">
        <v>-9.75</v>
      </c>
      <c r="R14" s="2"/>
      <c r="S14" s="2" t="s">
        <v>8</v>
      </c>
      <c r="T14" s="4">
        <f t="shared" si="2"/>
        <v>3.214573891511705</v>
      </c>
      <c r="U14" s="2" t="s">
        <v>3</v>
      </c>
      <c r="V14" s="2" t="s">
        <v>9</v>
      </c>
      <c r="W14" s="12">
        <f t="shared" si="3"/>
        <v>-9.75</v>
      </c>
      <c r="X14" s="2" t="s">
        <v>4</v>
      </c>
      <c r="Y14" s="2" t="s">
        <v>8</v>
      </c>
      <c r="Z14" s="4">
        <f t="shared" si="4"/>
        <v>1.6942670340428037</v>
      </c>
      <c r="AA14" s="2" t="s">
        <v>3</v>
      </c>
      <c r="AB14" s="2" t="s">
        <v>9</v>
      </c>
      <c r="AC14" s="12">
        <f t="shared" si="5"/>
        <v>-9.75</v>
      </c>
      <c r="AD14" s="2" t="s">
        <v>4</v>
      </c>
    </row>
    <row r="15" spans="1:30" x14ac:dyDescent="0.25">
      <c r="C15" s="9">
        <v>65379.603139991261</v>
      </c>
      <c r="D15" s="10">
        <f t="shared" si="0"/>
        <v>3.2502859335714849</v>
      </c>
      <c r="E15" s="9">
        <f t="shared" si="1"/>
        <v>3050.6844669384109</v>
      </c>
      <c r="F15" s="11">
        <f t="shared" si="6"/>
        <v>1.7086594724564494</v>
      </c>
      <c r="G15" s="9">
        <v>-20.25</v>
      </c>
      <c r="R15" s="2"/>
      <c r="S15" s="2" t="s">
        <v>8</v>
      </c>
      <c r="T15" s="4">
        <f t="shared" si="2"/>
        <v>3.2502859335714849</v>
      </c>
      <c r="U15" s="2" t="s">
        <v>3</v>
      </c>
      <c r="V15" s="2" t="s">
        <v>9</v>
      </c>
      <c r="W15" s="12">
        <f t="shared" si="3"/>
        <v>-20.25</v>
      </c>
      <c r="X15" s="2" t="s">
        <v>4</v>
      </c>
      <c r="Y15" s="2" t="s">
        <v>8</v>
      </c>
      <c r="Z15" s="4">
        <f t="shared" si="4"/>
        <v>1.7086594724564494</v>
      </c>
      <c r="AA15" s="2" t="s">
        <v>3</v>
      </c>
      <c r="AB15" s="2" t="s">
        <v>9</v>
      </c>
      <c r="AC15" s="12">
        <f t="shared" si="5"/>
        <v>-20.25</v>
      </c>
      <c r="AD15" s="2" t="s">
        <v>4</v>
      </c>
    </row>
    <row r="16" spans="1:30" x14ac:dyDescent="0.25">
      <c r="C16" s="9">
        <v>115676.2870159452</v>
      </c>
      <c r="D16" s="10">
        <f t="shared" si="0"/>
        <v>3.2717166179658337</v>
      </c>
      <c r="E16" s="9">
        <f t="shared" si="1"/>
        <v>3113.8600282945708</v>
      </c>
      <c r="F16" s="11">
        <f t="shared" si="6"/>
        <v>1.7172606482972572</v>
      </c>
      <c r="G16" s="9">
        <v>-30</v>
      </c>
      <c r="R16" s="2"/>
      <c r="S16" s="2" t="s">
        <v>8</v>
      </c>
      <c r="T16" s="4">
        <f t="shared" si="2"/>
        <v>3.2717166179658337</v>
      </c>
      <c r="U16" s="2" t="s">
        <v>3</v>
      </c>
      <c r="V16" s="2" t="s">
        <v>9</v>
      </c>
      <c r="W16" s="12">
        <f t="shared" si="3"/>
        <v>-30</v>
      </c>
      <c r="X16" s="2" t="s">
        <v>4</v>
      </c>
      <c r="Y16" s="2" t="s">
        <v>8</v>
      </c>
      <c r="Z16" s="4">
        <f t="shared" si="4"/>
        <v>1.7172606482972572</v>
      </c>
      <c r="AA16" s="2" t="s">
        <v>3</v>
      </c>
      <c r="AB16" s="2" t="s">
        <v>9</v>
      </c>
      <c r="AC16" s="12">
        <f t="shared" si="5"/>
        <v>-30</v>
      </c>
      <c r="AD16" s="2" t="s">
        <v>4</v>
      </c>
    </row>
    <row r="17" spans="1:30" x14ac:dyDescent="0.25">
      <c r="C17" s="9">
        <v>217630.22630834449</v>
      </c>
      <c r="D17" s="10">
        <f t="shared" ref="D17" si="7">($B$2*C17)/($A$2+C17)</f>
        <v>3.2849060212042871</v>
      </c>
      <c r="E17" s="9">
        <f t="shared" ref="E17" si="8">C17*($A$6+$A$7)/(C17+$A$6+$A$7)</f>
        <v>3153.6295362678211</v>
      </c>
      <c r="F17" s="11">
        <f t="shared" ref="F17" si="9">(($B$2*E17)/($B$6+E17))*$A$6/($A$6+$A$7)</f>
        <v>1.7225409603660631</v>
      </c>
      <c r="G17">
        <v>-39.75</v>
      </c>
      <c r="R17" s="2"/>
      <c r="S17" s="2" t="s">
        <v>8</v>
      </c>
      <c r="T17" s="4">
        <f t="shared" si="2"/>
        <v>3.2849060212042871</v>
      </c>
      <c r="U17" s="2" t="s">
        <v>3</v>
      </c>
      <c r="V17" s="2" t="s">
        <v>9</v>
      </c>
      <c r="W17" s="12">
        <f t="shared" si="3"/>
        <v>-39.75</v>
      </c>
      <c r="X17" s="2" t="s">
        <v>4</v>
      </c>
      <c r="Y17" s="2" t="s">
        <v>8</v>
      </c>
      <c r="Z17" s="4">
        <f t="shared" si="4"/>
        <v>1.7225409603660631</v>
      </c>
      <c r="AA17" s="2" t="s">
        <v>3</v>
      </c>
      <c r="AB17" s="2" t="s">
        <v>9</v>
      </c>
      <c r="AC17" s="12">
        <f t="shared" si="5"/>
        <v>-39.75</v>
      </c>
      <c r="AD17" s="2" t="s">
        <v>4</v>
      </c>
    </row>
    <row r="18" spans="1:30" x14ac:dyDescent="0.25">
      <c r="C18" s="9"/>
      <c r="G18" s="9"/>
      <c r="R18" s="2"/>
      <c r="S18" s="2" t="s">
        <v>8</v>
      </c>
      <c r="T18" s="4">
        <f t="shared" si="2"/>
        <v>0</v>
      </c>
      <c r="U18" s="2" t="s">
        <v>3</v>
      </c>
      <c r="V18" s="2" t="s">
        <v>9</v>
      </c>
      <c r="W18" s="12">
        <f t="shared" si="3"/>
        <v>0</v>
      </c>
      <c r="X18" s="2" t="s">
        <v>4</v>
      </c>
      <c r="Y18" s="2" t="s">
        <v>8</v>
      </c>
      <c r="Z18" s="4">
        <f t="shared" si="4"/>
        <v>0</v>
      </c>
      <c r="AA18" s="2" t="s">
        <v>3</v>
      </c>
      <c r="AB18" s="2" t="s">
        <v>9</v>
      </c>
      <c r="AC18" s="12">
        <f t="shared" si="5"/>
        <v>0</v>
      </c>
      <c r="AD18" s="2" t="s">
        <v>4</v>
      </c>
    </row>
    <row r="19" spans="1:30" x14ac:dyDescent="0.25">
      <c r="C19" s="9"/>
      <c r="G19" s="9"/>
      <c r="R19" s="2"/>
      <c r="S19" s="2" t="s">
        <v>8</v>
      </c>
      <c r="T19" s="4">
        <f t="shared" si="2"/>
        <v>0</v>
      </c>
      <c r="U19" s="2" t="s">
        <v>3</v>
      </c>
      <c r="V19" s="2" t="s">
        <v>9</v>
      </c>
      <c r="W19" s="12">
        <f t="shared" si="3"/>
        <v>0</v>
      </c>
      <c r="X19" s="2" t="s">
        <v>4</v>
      </c>
      <c r="Y19" s="2" t="s">
        <v>8</v>
      </c>
      <c r="Z19" s="4">
        <f t="shared" si="4"/>
        <v>0</v>
      </c>
      <c r="AA19" s="2" t="s">
        <v>3</v>
      </c>
      <c r="AB19" s="2" t="s">
        <v>9</v>
      </c>
      <c r="AC19" s="12">
        <f t="shared" si="5"/>
        <v>0</v>
      </c>
      <c r="AD19" s="2" t="s">
        <v>4</v>
      </c>
    </row>
    <row r="20" spans="1:30" x14ac:dyDescent="0.25">
      <c r="C20" s="9"/>
      <c r="G20" s="9"/>
      <c r="R20" s="2"/>
      <c r="S20" s="2" t="s">
        <v>8</v>
      </c>
      <c r="T20" s="4">
        <f t="shared" si="2"/>
        <v>0</v>
      </c>
      <c r="U20" s="2" t="s">
        <v>3</v>
      </c>
      <c r="V20" s="2" t="s">
        <v>9</v>
      </c>
      <c r="W20" s="12">
        <f t="shared" si="3"/>
        <v>0</v>
      </c>
      <c r="X20" s="2" t="s">
        <v>5</v>
      </c>
      <c r="Y20" s="2" t="s">
        <v>8</v>
      </c>
      <c r="Z20" s="4">
        <f t="shared" si="4"/>
        <v>0</v>
      </c>
      <c r="AA20" s="2" t="s">
        <v>3</v>
      </c>
      <c r="AB20" s="2" t="s">
        <v>9</v>
      </c>
      <c r="AC20" s="12">
        <f t="shared" si="5"/>
        <v>0</v>
      </c>
      <c r="AD20" s="2" t="s">
        <v>5</v>
      </c>
    </row>
    <row r="21" spans="1:30" x14ac:dyDescent="0.25">
      <c r="C21" s="9"/>
      <c r="G21" s="9"/>
      <c r="S21" s="2" t="s">
        <v>7</v>
      </c>
      <c r="T21" s="4"/>
      <c r="U21" s="2"/>
      <c r="V21" s="2"/>
      <c r="W21" s="12"/>
      <c r="X21" s="2"/>
      <c r="Y21" s="2" t="s">
        <v>7</v>
      </c>
      <c r="Z21" s="4"/>
      <c r="AA21" s="2"/>
      <c r="AB21" s="2"/>
      <c r="AC21" s="12"/>
      <c r="AD21" s="2"/>
    </row>
    <row r="22" spans="1:30" x14ac:dyDescent="0.25">
      <c r="C22" s="9"/>
      <c r="G22" s="9"/>
    </row>
    <row r="23" spans="1:30" x14ac:dyDescent="0.25">
      <c r="C23" s="9"/>
      <c r="G23" s="9"/>
    </row>
    <row r="24" spans="1:30" x14ac:dyDescent="0.25">
      <c r="A24" t="s">
        <v>24</v>
      </c>
      <c r="C24" s="9"/>
      <c r="G24" s="9"/>
    </row>
    <row r="25" spans="1:30" x14ac:dyDescent="0.25">
      <c r="A25" t="s">
        <v>10</v>
      </c>
      <c r="B25" t="s">
        <v>2</v>
      </c>
      <c r="C25" s="9" t="s">
        <v>12</v>
      </c>
      <c r="D25" t="s">
        <v>0</v>
      </c>
      <c r="G25" s="9" t="s">
        <v>1</v>
      </c>
    </row>
    <row r="26" spans="1:30" x14ac:dyDescent="0.25">
      <c r="A26">
        <v>2490</v>
      </c>
      <c r="B26">
        <v>5</v>
      </c>
      <c r="C26" s="9">
        <f>($A$26*D26)/($B$26-D26)</f>
        <v>149.41182456497407</v>
      </c>
      <c r="D26">
        <v>0.28304000000000001</v>
      </c>
      <c r="G26" s="9">
        <v>142.5</v>
      </c>
    </row>
    <row r="27" spans="1:30" x14ac:dyDescent="0.25">
      <c r="C27" s="9">
        <f>($A$26*D27)/($B$26-D27)</f>
        <v>349.14693326522422</v>
      </c>
      <c r="D27">
        <v>0.61487999999999998</v>
      </c>
      <c r="G27" s="9">
        <v>110.25</v>
      </c>
    </row>
    <row r="28" spans="1:30" x14ac:dyDescent="0.25">
      <c r="C28">
        <f>($A$26*D28)/($B$26-D28)</f>
        <v>464.21325385827305</v>
      </c>
      <c r="D28">
        <v>0.78567999999999905</v>
      </c>
      <c r="G28">
        <v>100.5</v>
      </c>
    </row>
    <row r="29" spans="1:30" x14ac:dyDescent="0.25">
      <c r="C29">
        <f>($A$26*D29)/($B$26-D29)</f>
        <v>626.61393038811229</v>
      </c>
      <c r="D29">
        <v>1.00528</v>
      </c>
      <c r="G29">
        <v>90.75</v>
      </c>
    </row>
    <row r="30" spans="1:30" x14ac:dyDescent="0.25">
      <c r="C30">
        <f t="shared" ref="C30:C41" si="10">($A$26*D30)/($B$26-D30)</f>
        <v>859.87192457541369</v>
      </c>
      <c r="D30">
        <v>1.2834399999999999</v>
      </c>
      <c r="G30">
        <v>80.25</v>
      </c>
    </row>
    <row r="31" spans="1:30" x14ac:dyDescent="0.25">
      <c r="C31">
        <f t="shared" si="10"/>
        <v>1198.932609571669</v>
      </c>
      <c r="D31">
        <v>1.62504</v>
      </c>
      <c r="G31">
        <v>70.5</v>
      </c>
    </row>
    <row r="32" spans="1:30" x14ac:dyDescent="0.25">
      <c r="C32">
        <f t="shared" si="10"/>
        <v>1702.0321086089859</v>
      </c>
      <c r="D32">
        <v>2.0300799999999999</v>
      </c>
      <c r="G32">
        <v>60.75</v>
      </c>
    </row>
    <row r="33" spans="3:27" x14ac:dyDescent="0.25">
      <c r="C33">
        <f t="shared" si="10"/>
        <v>2458.1733490191091</v>
      </c>
      <c r="D33">
        <v>2.4839199999999999</v>
      </c>
      <c r="G33">
        <v>50.25</v>
      </c>
    </row>
    <row r="34" spans="3:27" x14ac:dyDescent="0.25">
      <c r="C34">
        <f t="shared" si="10"/>
        <v>5492.8161066940238</v>
      </c>
      <c r="D34">
        <v>3.4403999999999999</v>
      </c>
      <c r="G34">
        <v>30</v>
      </c>
      <c r="M34" s="5"/>
    </row>
    <row r="35" spans="3:27" x14ac:dyDescent="0.25">
      <c r="C35">
        <f t="shared" si="10"/>
        <v>8526.1393077086414</v>
      </c>
      <c r="D35">
        <v>3.8698399999999999</v>
      </c>
      <c r="G35">
        <v>20.25</v>
      </c>
    </row>
    <row r="36" spans="3:27" x14ac:dyDescent="0.25">
      <c r="C36">
        <f t="shared" si="10"/>
        <v>13596.934050031003</v>
      </c>
      <c r="D36">
        <v>4.2260799999999996</v>
      </c>
      <c r="G36">
        <v>10.5</v>
      </c>
    </row>
    <row r="37" spans="3:27" x14ac:dyDescent="0.25">
      <c r="C37">
        <f t="shared" si="10"/>
        <v>22138.105712928755</v>
      </c>
      <c r="D37">
        <v>4.4944799999999896</v>
      </c>
      <c r="G37">
        <v>0</v>
      </c>
      <c r="M37" s="1"/>
    </row>
    <row r="38" spans="3:27" x14ac:dyDescent="0.25">
      <c r="C38">
        <f t="shared" si="10"/>
        <v>37629.876256767217</v>
      </c>
      <c r="D38">
        <v>4.6896800000000001</v>
      </c>
      <c r="G38">
        <v>-9.75</v>
      </c>
    </row>
    <row r="39" spans="3:27" x14ac:dyDescent="0.25">
      <c r="C39">
        <f t="shared" si="10"/>
        <v>65379.603139991261</v>
      </c>
      <c r="D39">
        <v>4.81656</v>
      </c>
      <c r="G39">
        <v>-20.25</v>
      </c>
    </row>
    <row r="40" spans="3:27" x14ac:dyDescent="0.25">
      <c r="C40">
        <f t="shared" si="10"/>
        <v>115676.2870159452</v>
      </c>
      <c r="D40">
        <v>4.8946399999999999</v>
      </c>
      <c r="G40">
        <v>-30</v>
      </c>
      <c r="M40" s="5"/>
    </row>
    <row r="41" spans="3:27" x14ac:dyDescent="0.25">
      <c r="C41">
        <f t="shared" si="10"/>
        <v>217630.22630834449</v>
      </c>
      <c r="D41">
        <v>4.9434399999999998</v>
      </c>
      <c r="G41">
        <v>-39.75</v>
      </c>
    </row>
    <row r="43" spans="3:27" x14ac:dyDescent="0.25">
      <c r="M43" s="1"/>
    </row>
    <row r="45" spans="3:27" x14ac:dyDescent="0.25">
      <c r="T45"/>
      <c r="U45">
        <v>71.900000000000006</v>
      </c>
      <c r="Z45"/>
      <c r="AA45">
        <v>71.900000000000006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139F-BBA8-45E6-8ABD-24B09CD87AA1}">
  <dimension ref="A1:AD54"/>
  <sheetViews>
    <sheetView topLeftCell="A7" zoomScale="85" zoomScaleNormal="85" workbookViewId="0">
      <selection activeCell="H66" sqref="H66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style="9" bestFit="1" customWidth="1"/>
    <col min="4" max="5" width="12.42578125" style="9" customWidth="1"/>
    <col min="6" max="6" width="14.5703125" style="9" bestFit="1" customWidth="1"/>
    <col min="7" max="7" width="16.7109375" style="9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4.42578125" style="1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22</v>
      </c>
      <c r="R1" s="2" t="s">
        <v>6</v>
      </c>
      <c r="S1" s="2"/>
      <c r="T1" s="4"/>
      <c r="U1" s="2"/>
      <c r="V1" s="2"/>
      <c r="W1" s="3"/>
      <c r="X1" s="2"/>
      <c r="Y1" s="2" t="s">
        <v>17</v>
      </c>
      <c r="Z1" s="4"/>
      <c r="AA1" s="2"/>
      <c r="AB1" s="2"/>
      <c r="AC1" s="3"/>
      <c r="AD1" s="2"/>
    </row>
    <row r="2" spans="1:30" x14ac:dyDescent="0.25">
      <c r="A2">
        <v>1000</v>
      </c>
      <c r="B2">
        <v>3.3</v>
      </c>
      <c r="C2" s="9">
        <f>-0.3682*G2^2 + 36.465*G2 + 10.648</f>
        <v>10.648</v>
      </c>
      <c r="D2" s="10">
        <f t="shared" ref="D2:D27" si="0">($B$2*C2)/($A$2+C2)</f>
        <v>3.4768188330655182E-2</v>
      </c>
      <c r="E2" s="9">
        <f>C2*($A$6+$A$7)/(C2+$A$6+$A$7)</f>
        <v>10.612686286382063</v>
      </c>
      <c r="F2" s="11">
        <f>(($B$2*E2)/($B$6+E2))*$A$6/($A$6+$A$7)</f>
        <v>0.18434298150362502</v>
      </c>
      <c r="G2" s="9">
        <v>0</v>
      </c>
      <c r="R2" s="2"/>
      <c r="S2" s="2" t="s">
        <v>8</v>
      </c>
      <c r="T2" s="4">
        <f>D2</f>
        <v>3.4768188330655182E-2</v>
      </c>
      <c r="U2" s="2" t="s">
        <v>3</v>
      </c>
      <c r="V2" s="2" t="s">
        <v>9</v>
      </c>
      <c r="W2" s="3">
        <f>G2</f>
        <v>0</v>
      </c>
      <c r="X2" s="2" t="s">
        <v>4</v>
      </c>
      <c r="Y2" s="2" t="s">
        <v>8</v>
      </c>
      <c r="Z2" s="4">
        <f>F2</f>
        <v>0.18434298150362502</v>
      </c>
      <c r="AA2" s="2" t="s">
        <v>3</v>
      </c>
      <c r="AB2" s="2" t="s">
        <v>9</v>
      </c>
      <c r="AC2" s="3">
        <f>G2</f>
        <v>0</v>
      </c>
      <c r="AD2" s="2" t="s">
        <v>4</v>
      </c>
    </row>
    <row r="3" spans="1:30" x14ac:dyDescent="0.25">
      <c r="C3" s="9">
        <f t="shared" ref="C3:C27" si="1">-0.3682*G3^2 + 36.465*G3 + 10.648</f>
        <v>17.926272000000001</v>
      </c>
      <c r="D3" s="10">
        <f>($B$2*C3)/($A$2+C3)</f>
        <v>5.8114913847119962E-2</v>
      </c>
      <c r="E3" s="9">
        <f t="shared" ref="E3:E27" si="2">C3*($A$6+$A$7)/(C3+$A$6+$A$7)</f>
        <v>17.826409168892233</v>
      </c>
      <c r="F3" s="11">
        <f t="shared" ref="F3:F27" si="3">(($B$2*E3)/($B$6+E3))*$A$6/($A$6+$A$7)</f>
        <v>0.29343916050489754</v>
      </c>
      <c r="G3" s="9">
        <v>0.2</v>
      </c>
      <c r="R3" s="2"/>
      <c r="S3" s="2" t="s">
        <v>8</v>
      </c>
      <c r="T3" s="4">
        <f t="shared" ref="T3:T27" si="4">D3</f>
        <v>5.8114913847119962E-2</v>
      </c>
      <c r="U3" s="2" t="s">
        <v>3</v>
      </c>
      <c r="V3" s="2" t="s">
        <v>9</v>
      </c>
      <c r="W3" s="3">
        <f t="shared" ref="W3:W27" si="5">G3</f>
        <v>0.2</v>
      </c>
      <c r="X3" s="2" t="s">
        <v>4</v>
      </c>
      <c r="Y3" s="2" t="s">
        <v>8</v>
      </c>
      <c r="Z3" s="4">
        <f t="shared" ref="Z3:Z27" si="6">F3</f>
        <v>0.29343916050489754</v>
      </c>
      <c r="AA3" s="2" t="s">
        <v>3</v>
      </c>
      <c r="AB3" s="2" t="s">
        <v>9</v>
      </c>
      <c r="AC3" s="3">
        <f t="shared" ref="AC3:AC27" si="7">G3</f>
        <v>0.2</v>
      </c>
      <c r="AD3" s="2" t="s">
        <v>4</v>
      </c>
    </row>
    <row r="4" spans="1:30" x14ac:dyDescent="0.25">
      <c r="A4" t="s">
        <v>13</v>
      </c>
      <c r="C4" s="9">
        <f t="shared" si="1"/>
        <v>25.175088000000002</v>
      </c>
      <c r="D4" s="10">
        <f t="shared" si="0"/>
        <v>8.1037660173810228E-2</v>
      </c>
      <c r="E4" s="9">
        <f t="shared" si="2"/>
        <v>24.978576170869889</v>
      </c>
      <c r="F4" s="11">
        <f t="shared" si="3"/>
        <v>0.39088633772254977</v>
      </c>
      <c r="G4" s="9">
        <v>0.4</v>
      </c>
      <c r="R4" s="2"/>
      <c r="S4" s="2" t="s">
        <v>8</v>
      </c>
      <c r="T4" s="4">
        <f t="shared" si="4"/>
        <v>8.1037660173810228E-2</v>
      </c>
      <c r="U4" s="2" t="s">
        <v>3</v>
      </c>
      <c r="V4" s="2" t="s">
        <v>9</v>
      </c>
      <c r="W4" s="3">
        <f t="shared" si="5"/>
        <v>0.4</v>
      </c>
      <c r="X4" s="2" t="s">
        <v>4</v>
      </c>
      <c r="Y4" s="2" t="s">
        <v>8</v>
      </c>
      <c r="Z4" s="4">
        <f t="shared" si="6"/>
        <v>0.39088633772254977</v>
      </c>
      <c r="AA4" s="2" t="s">
        <v>3</v>
      </c>
      <c r="AB4" s="2" t="s">
        <v>9</v>
      </c>
      <c r="AC4" s="3">
        <f t="shared" si="7"/>
        <v>0.4</v>
      </c>
      <c r="AD4" s="2" t="s">
        <v>4</v>
      </c>
    </row>
    <row r="5" spans="1:30" x14ac:dyDescent="0.25">
      <c r="A5" t="s">
        <v>11</v>
      </c>
      <c r="B5" t="s">
        <v>14</v>
      </c>
      <c r="C5" s="9">
        <f t="shared" si="1"/>
        <v>32.394447999999997</v>
      </c>
      <c r="D5" s="10">
        <f t="shared" si="0"/>
        <v>0.10354732012274438</v>
      </c>
      <c r="E5" s="9">
        <f t="shared" si="2"/>
        <v>32.06979694700923</v>
      </c>
      <c r="F5" s="11">
        <f t="shared" si="3"/>
        <v>0.47845366591027161</v>
      </c>
      <c r="G5" s="9">
        <v>0.6</v>
      </c>
      <c r="R5" s="2"/>
      <c r="S5" s="2" t="s">
        <v>8</v>
      </c>
      <c r="T5" s="4">
        <f t="shared" si="4"/>
        <v>0.10354732012274438</v>
      </c>
      <c r="U5" s="2" t="s">
        <v>3</v>
      </c>
      <c r="V5" s="2" t="s">
        <v>9</v>
      </c>
      <c r="W5" s="3">
        <f t="shared" si="5"/>
        <v>0.6</v>
      </c>
      <c r="X5" s="2" t="s">
        <v>4</v>
      </c>
      <c r="Y5" s="2" t="s">
        <v>8</v>
      </c>
      <c r="Z5" s="4">
        <f t="shared" si="6"/>
        <v>0.47845366591027161</v>
      </c>
      <c r="AA5" s="2" t="s">
        <v>3</v>
      </c>
      <c r="AB5" s="2" t="s">
        <v>9</v>
      </c>
      <c r="AC5" s="3">
        <f t="shared" si="7"/>
        <v>0.6</v>
      </c>
      <c r="AD5" s="2" t="s">
        <v>4</v>
      </c>
    </row>
    <row r="6" spans="1:30" x14ac:dyDescent="0.25">
      <c r="A6">
        <v>2200</v>
      </c>
      <c r="B6">
        <v>120</v>
      </c>
      <c r="C6" s="9">
        <f t="shared" si="1"/>
        <v>39.584352000000003</v>
      </c>
      <c r="D6" s="10">
        <f t="shared" si="0"/>
        <v>0.12565441308220077</v>
      </c>
      <c r="E6" s="9">
        <f t="shared" si="2"/>
        <v>39.100672381566071</v>
      </c>
      <c r="F6" s="11">
        <f t="shared" si="3"/>
        <v>0.55756929959999479</v>
      </c>
      <c r="G6" s="9">
        <v>0.8</v>
      </c>
      <c r="R6" s="2"/>
      <c r="S6" s="2" t="s">
        <v>8</v>
      </c>
      <c r="T6" s="4">
        <f t="shared" si="4"/>
        <v>0.12565441308220077</v>
      </c>
      <c r="U6" s="2" t="s">
        <v>3</v>
      </c>
      <c r="V6" s="2" t="s">
        <v>9</v>
      </c>
      <c r="W6" s="3">
        <f t="shared" si="5"/>
        <v>0.8</v>
      </c>
      <c r="X6" s="2" t="s">
        <v>4</v>
      </c>
      <c r="Y6" s="2" t="s">
        <v>8</v>
      </c>
      <c r="Z6" s="4">
        <f t="shared" si="6"/>
        <v>0.55756929959999479</v>
      </c>
      <c r="AA6" s="2" t="s">
        <v>3</v>
      </c>
      <c r="AB6" s="2" t="s">
        <v>9</v>
      </c>
      <c r="AC6" s="3">
        <f t="shared" si="7"/>
        <v>0.8</v>
      </c>
      <c r="AD6" s="2" t="s">
        <v>4</v>
      </c>
    </row>
    <row r="7" spans="1:30" x14ac:dyDescent="0.25">
      <c r="A7">
        <v>1000</v>
      </c>
      <c r="C7" s="9">
        <f t="shared" si="1"/>
        <v>46.744799999999998</v>
      </c>
      <c r="D7" s="10">
        <f t="shared" si="0"/>
        <v>0.14736910085438207</v>
      </c>
      <c r="E7" s="9">
        <f t="shared" si="2"/>
        <v>46.071794740381193</v>
      </c>
      <c r="F7" s="11">
        <f t="shared" si="3"/>
        <v>0.6293987758766838</v>
      </c>
      <c r="G7" s="9">
        <v>1</v>
      </c>
      <c r="R7" s="2"/>
      <c r="S7" s="2" t="s">
        <v>8</v>
      </c>
      <c r="T7" s="4">
        <f t="shared" si="4"/>
        <v>0.14736910085438207</v>
      </c>
      <c r="U7" s="2" t="s">
        <v>3</v>
      </c>
      <c r="V7" s="2" t="s">
        <v>9</v>
      </c>
      <c r="W7" s="3">
        <f t="shared" si="5"/>
        <v>1</v>
      </c>
      <c r="X7" s="2" t="s">
        <v>4</v>
      </c>
      <c r="Y7" s="2" t="s">
        <v>8</v>
      </c>
      <c r="Z7" s="4">
        <f t="shared" si="6"/>
        <v>0.6293987758766838</v>
      </c>
      <c r="AA7" s="2" t="s">
        <v>3</v>
      </c>
      <c r="AB7" s="2" t="s">
        <v>9</v>
      </c>
      <c r="AC7" s="3">
        <f t="shared" si="7"/>
        <v>1</v>
      </c>
      <c r="AD7" s="2" t="s">
        <v>4</v>
      </c>
    </row>
    <row r="8" spans="1:30" x14ac:dyDescent="0.25">
      <c r="C8" s="9">
        <f t="shared" si="1"/>
        <v>53.875792000000004</v>
      </c>
      <c r="D8" s="10">
        <f>($B$2*C8)/($A$2+C8)</f>
        <v>0.16870120269353336</v>
      </c>
      <c r="E8" s="9">
        <f t="shared" si="2"/>
        <v>52.983747819713955</v>
      </c>
      <c r="F8" s="11">
        <f t="shared" si="3"/>
        <v>0.69490272572459988</v>
      </c>
      <c r="G8" s="9">
        <v>1.2</v>
      </c>
      <c r="R8" s="2"/>
      <c r="S8" s="2" t="s">
        <v>8</v>
      </c>
      <c r="T8" s="4">
        <f t="shared" si="4"/>
        <v>0.16870120269353336</v>
      </c>
      <c r="U8" s="2" t="s">
        <v>3</v>
      </c>
      <c r="V8" s="2" t="s">
        <v>9</v>
      </c>
      <c r="W8" s="3">
        <f t="shared" si="5"/>
        <v>1.2</v>
      </c>
      <c r="X8" s="2" t="s">
        <v>4</v>
      </c>
      <c r="Y8" s="2" t="s">
        <v>8</v>
      </c>
      <c r="Z8" s="4">
        <f t="shared" si="6"/>
        <v>0.69490272572459988</v>
      </c>
      <c r="AA8" s="2" t="s">
        <v>3</v>
      </c>
      <c r="AB8" s="2" t="s">
        <v>9</v>
      </c>
      <c r="AC8" s="3">
        <f t="shared" si="7"/>
        <v>1.2</v>
      </c>
      <c r="AD8" s="2" t="s">
        <v>4</v>
      </c>
    </row>
    <row r="9" spans="1:30" x14ac:dyDescent="0.25">
      <c r="C9" s="9">
        <f t="shared" si="1"/>
        <v>60.977328</v>
      </c>
      <c r="D9" s="10">
        <f t="shared" si="0"/>
        <v>0.18966020959120816</v>
      </c>
      <c r="E9" s="9">
        <f t="shared" si="2"/>
        <v>59.837107091963198</v>
      </c>
      <c r="F9" s="11">
        <f t="shared" si="3"/>
        <v>0.75488000730277716</v>
      </c>
      <c r="G9" s="9">
        <v>1.4</v>
      </c>
      <c r="R9" s="2"/>
      <c r="S9" s="2" t="s">
        <v>8</v>
      </c>
      <c r="T9" s="4">
        <f t="shared" si="4"/>
        <v>0.18966020959120816</v>
      </c>
      <c r="U9" s="2" t="s">
        <v>3</v>
      </c>
      <c r="V9" s="2" t="s">
        <v>9</v>
      </c>
      <c r="W9" s="3">
        <f t="shared" si="5"/>
        <v>1.4</v>
      </c>
      <c r="X9" s="2" t="s">
        <v>4</v>
      </c>
      <c r="Y9" s="2" t="s">
        <v>8</v>
      </c>
      <c r="Z9" s="4">
        <f t="shared" si="6"/>
        <v>0.75488000730277716</v>
      </c>
      <c r="AA9" s="2" t="s">
        <v>3</v>
      </c>
      <c r="AB9" s="2" t="s">
        <v>9</v>
      </c>
      <c r="AC9" s="3">
        <f t="shared" si="7"/>
        <v>1.4</v>
      </c>
      <c r="AD9" s="2" t="s">
        <v>4</v>
      </c>
    </row>
    <row r="10" spans="1:30" x14ac:dyDescent="0.25">
      <c r="C10" s="9">
        <f t="shared" si="1"/>
        <v>68.049408000000014</v>
      </c>
      <c r="D10" s="10">
        <f t="shared" si="0"/>
        <v>0.21025529785228814</v>
      </c>
      <c r="E10" s="9">
        <f t="shared" si="2"/>
        <v>66.632439848351297</v>
      </c>
      <c r="F10" s="11">
        <f t="shared" si="3"/>
        <v>0.81000038379599237</v>
      </c>
      <c r="G10" s="9">
        <v>1.6</v>
      </c>
      <c r="R10" s="2"/>
      <c r="S10" s="2" t="s">
        <v>8</v>
      </c>
      <c r="T10" s="4">
        <f t="shared" si="4"/>
        <v>0.21025529785228814</v>
      </c>
      <c r="U10" s="2" t="s">
        <v>3</v>
      </c>
      <c r="V10" s="2" t="s">
        <v>9</v>
      </c>
      <c r="W10" s="3">
        <f t="shared" si="5"/>
        <v>1.6</v>
      </c>
      <c r="X10" s="2" t="s">
        <v>4</v>
      </c>
      <c r="Y10" s="2" t="s">
        <v>8</v>
      </c>
      <c r="Z10" s="4">
        <f t="shared" si="6"/>
        <v>0.81000038379599237</v>
      </c>
      <c r="AA10" s="2" t="s">
        <v>3</v>
      </c>
      <c r="AB10" s="2" t="s">
        <v>9</v>
      </c>
      <c r="AC10" s="3">
        <f t="shared" si="7"/>
        <v>1.6</v>
      </c>
      <c r="AD10" s="2" t="s">
        <v>4</v>
      </c>
    </row>
    <row r="11" spans="1:30" x14ac:dyDescent="0.25">
      <c r="C11" s="9">
        <f t="shared" si="1"/>
        <v>75.092032000000017</v>
      </c>
      <c r="D11" s="10">
        <f t="shared" si="0"/>
        <v>0.23049534200249755</v>
      </c>
      <c r="E11" s="9">
        <f t="shared" si="2"/>
        <v>73.370305338644002</v>
      </c>
      <c r="F11" s="11">
        <f t="shared" si="3"/>
        <v>0.86082958779805296</v>
      </c>
      <c r="G11" s="9">
        <v>1.8</v>
      </c>
      <c r="R11" s="2"/>
      <c r="S11" s="2" t="s">
        <v>8</v>
      </c>
      <c r="T11" s="4">
        <f t="shared" si="4"/>
        <v>0.23049534200249755</v>
      </c>
      <c r="U11" s="2" t="s">
        <v>3</v>
      </c>
      <c r="V11" s="2" t="s">
        <v>9</v>
      </c>
      <c r="W11" s="3">
        <f t="shared" si="5"/>
        <v>1.8</v>
      </c>
      <c r="X11" s="2" t="s">
        <v>4</v>
      </c>
      <c r="Y11" s="2" t="s">
        <v>8</v>
      </c>
      <c r="Z11" s="4">
        <f t="shared" si="6"/>
        <v>0.86082958779805296</v>
      </c>
      <c r="AA11" s="2" t="s">
        <v>3</v>
      </c>
      <c r="AB11" s="2" t="s">
        <v>9</v>
      </c>
      <c r="AC11" s="3">
        <f t="shared" si="7"/>
        <v>1.8</v>
      </c>
      <c r="AD11" s="2" t="s">
        <v>4</v>
      </c>
    </row>
    <row r="12" spans="1:30" x14ac:dyDescent="0.25">
      <c r="C12" s="9">
        <f t="shared" si="1"/>
        <v>82.105199999999996</v>
      </c>
      <c r="D12" s="10">
        <f t="shared" si="0"/>
        <v>0.25038892706550159</v>
      </c>
      <c r="E12" s="9">
        <f t="shared" si="2"/>
        <v>80.051254907977963</v>
      </c>
      <c r="F12" s="11">
        <f t="shared" si="3"/>
        <v>0.90784876433800465</v>
      </c>
      <c r="G12" s="9">
        <v>2</v>
      </c>
      <c r="R12" s="2"/>
      <c r="S12" s="2" t="s">
        <v>8</v>
      </c>
      <c r="T12" s="4">
        <f t="shared" si="4"/>
        <v>0.25038892706550159</v>
      </c>
      <c r="U12" s="2" t="s">
        <v>3</v>
      </c>
      <c r="V12" s="2" t="s">
        <v>9</v>
      </c>
      <c r="W12" s="3">
        <f t="shared" si="5"/>
        <v>2</v>
      </c>
      <c r="X12" s="2" t="s">
        <v>4</v>
      </c>
      <c r="Y12" s="2" t="s">
        <v>8</v>
      </c>
      <c r="Z12" s="4">
        <f t="shared" si="6"/>
        <v>0.90784876433800465</v>
      </c>
      <c r="AA12" s="2" t="s">
        <v>3</v>
      </c>
      <c r="AB12" s="2" t="s">
        <v>9</v>
      </c>
      <c r="AC12" s="3">
        <f t="shared" si="7"/>
        <v>2</v>
      </c>
      <c r="AD12" s="2" t="s">
        <v>4</v>
      </c>
    </row>
    <row r="13" spans="1:30" x14ac:dyDescent="0.25">
      <c r="C13" s="9">
        <f t="shared" si="1"/>
        <v>89.088912000000008</v>
      </c>
      <c r="D13" s="10">
        <f t="shared" si="0"/>
        <v>0.26994436024521756</v>
      </c>
      <c r="E13" s="9">
        <f t="shared" si="2"/>
        <v>86.675832130864563</v>
      </c>
      <c r="F13" s="11">
        <f t="shared" si="3"/>
        <v>0.95146971041290074</v>
      </c>
      <c r="G13" s="9">
        <v>2.2000000000000002</v>
      </c>
      <c r="R13" s="2"/>
      <c r="S13" s="2" t="s">
        <v>8</v>
      </c>
      <c r="T13" s="4">
        <f t="shared" si="4"/>
        <v>0.26994436024521756</v>
      </c>
      <c r="U13" s="2" t="s">
        <v>3</v>
      </c>
      <c r="V13" s="2" t="s">
        <v>9</v>
      </c>
      <c r="W13" s="3">
        <f t="shared" si="5"/>
        <v>2.2000000000000002</v>
      </c>
      <c r="X13" s="2" t="s">
        <v>4</v>
      </c>
      <c r="Y13" s="2" t="s">
        <v>8</v>
      </c>
      <c r="Z13" s="4">
        <f t="shared" si="6"/>
        <v>0.95146971041290074</v>
      </c>
      <c r="AA13" s="2" t="s">
        <v>3</v>
      </c>
      <c r="AB13" s="2" t="s">
        <v>9</v>
      </c>
      <c r="AC13" s="3">
        <f t="shared" si="7"/>
        <v>2.2000000000000002</v>
      </c>
      <c r="AD13" s="2" t="s">
        <v>4</v>
      </c>
    </row>
    <row r="14" spans="1:30" x14ac:dyDescent="0.25">
      <c r="C14" s="9">
        <f t="shared" si="1"/>
        <v>96.043168000000009</v>
      </c>
      <c r="D14" s="10">
        <f t="shared" si="0"/>
        <v>0.28916968204668381</v>
      </c>
      <c r="E14" s="9">
        <f t="shared" si="2"/>
        <v>93.24457294243787</v>
      </c>
      <c r="F14" s="11">
        <f t="shared" si="3"/>
        <v>0.99204693439143343</v>
      </c>
      <c r="G14" s="9">
        <v>2.4</v>
      </c>
      <c r="R14" s="2"/>
      <c r="S14" s="2" t="s">
        <v>8</v>
      </c>
      <c r="T14" s="4">
        <f t="shared" si="4"/>
        <v>0.28916968204668381</v>
      </c>
      <c r="U14" s="2" t="s">
        <v>3</v>
      </c>
      <c r="V14" s="2" t="s">
        <v>9</v>
      </c>
      <c r="W14" s="3">
        <f t="shared" si="5"/>
        <v>2.4</v>
      </c>
      <c r="X14" s="2" t="s">
        <v>4</v>
      </c>
      <c r="Y14" s="2" t="s">
        <v>8</v>
      </c>
      <c r="Z14" s="4">
        <f t="shared" si="6"/>
        <v>0.99204693439143343</v>
      </c>
      <c r="AA14" s="2" t="s">
        <v>3</v>
      </c>
      <c r="AB14" s="2" t="s">
        <v>9</v>
      </c>
      <c r="AC14" s="3">
        <f t="shared" si="7"/>
        <v>2.4</v>
      </c>
      <c r="AD14" s="2" t="s">
        <v>4</v>
      </c>
    </row>
    <row r="15" spans="1:30" x14ac:dyDescent="0.25">
      <c r="C15" s="9">
        <f t="shared" si="1"/>
        <v>102.96796800000001</v>
      </c>
      <c r="D15" s="10">
        <f t="shared" si="0"/>
        <v>0.30807267686671391</v>
      </c>
      <c r="E15" s="9">
        <f t="shared" si="2"/>
        <v>99.758005767012051</v>
      </c>
      <c r="F15" s="11">
        <f t="shared" si="3"/>
        <v>1.0298872834870005</v>
      </c>
      <c r="G15" s="9">
        <v>2.6</v>
      </c>
      <c r="R15" s="2"/>
      <c r="S15" s="2" t="s">
        <v>8</v>
      </c>
      <c r="T15" s="4">
        <f t="shared" si="4"/>
        <v>0.30807267686671391</v>
      </c>
      <c r="U15" s="2" t="s">
        <v>3</v>
      </c>
      <c r="V15" s="2" t="s">
        <v>9</v>
      </c>
      <c r="W15" s="3">
        <f t="shared" si="5"/>
        <v>2.6</v>
      </c>
      <c r="X15" s="2" t="s">
        <v>4</v>
      </c>
      <c r="Y15" s="2" t="s">
        <v>8</v>
      </c>
      <c r="Z15" s="4">
        <f t="shared" si="6"/>
        <v>1.0298872834870005</v>
      </c>
      <c r="AA15" s="2" t="s">
        <v>3</v>
      </c>
      <c r="AB15" s="2" t="s">
        <v>9</v>
      </c>
      <c r="AC15" s="3">
        <f t="shared" si="7"/>
        <v>2.6</v>
      </c>
      <c r="AD15" s="2" t="s">
        <v>4</v>
      </c>
    </row>
    <row r="16" spans="1:30" x14ac:dyDescent="0.25">
      <c r="C16" s="9">
        <f t="shared" si="1"/>
        <v>109.86331199999999</v>
      </c>
      <c r="D16" s="10">
        <f t="shared" si="0"/>
        <v>0.32666088308359181</v>
      </c>
      <c r="E16" s="9">
        <f t="shared" si="2"/>
        <v>106.21665164401205</v>
      </c>
      <c r="F16" s="11">
        <f t="shared" si="3"/>
        <v>1.0652576928623771</v>
      </c>
      <c r="G16" s="9">
        <v>2.8</v>
      </c>
      <c r="R16" s="2"/>
      <c r="S16" s="2" t="s">
        <v>8</v>
      </c>
      <c r="T16" s="4">
        <f t="shared" si="4"/>
        <v>0.32666088308359181</v>
      </c>
      <c r="U16" s="2" t="s">
        <v>3</v>
      </c>
      <c r="V16" s="2" t="s">
        <v>9</v>
      </c>
      <c r="W16" s="3">
        <f t="shared" si="5"/>
        <v>2.8</v>
      </c>
      <c r="X16" s="2" t="s">
        <v>4</v>
      </c>
      <c r="Y16" s="2" t="s">
        <v>8</v>
      </c>
      <c r="Z16" s="4">
        <f t="shared" si="6"/>
        <v>1.0652576928623771</v>
      </c>
      <c r="AA16" s="2" t="s">
        <v>3</v>
      </c>
      <c r="AB16" s="2" t="s">
        <v>9</v>
      </c>
      <c r="AC16" s="3">
        <f t="shared" si="7"/>
        <v>2.8</v>
      </c>
      <c r="AD16" s="2" t="s">
        <v>4</v>
      </c>
    </row>
    <row r="17" spans="1:30" x14ac:dyDescent="0.25">
      <c r="C17" s="9">
        <f t="shared" si="1"/>
        <v>116.72920000000001</v>
      </c>
      <c r="D17" s="10">
        <f t="shared" si="0"/>
        <v>0.34494160267323537</v>
      </c>
      <c r="E17" s="9">
        <f t="shared" si="2"/>
        <v>112.62102435133986</v>
      </c>
      <c r="F17" s="11">
        <f t="shared" si="3"/>
        <v>1.0983914704596673</v>
      </c>
      <c r="G17" s="9">
        <v>3</v>
      </c>
      <c r="R17" s="2"/>
      <c r="S17" s="2" t="s">
        <v>8</v>
      </c>
      <c r="T17" s="4">
        <f t="shared" si="4"/>
        <v>0.34494160267323537</v>
      </c>
      <c r="U17" s="2" t="s">
        <v>3</v>
      </c>
      <c r="V17" s="2" t="s">
        <v>9</v>
      </c>
      <c r="W17" s="3">
        <f t="shared" si="5"/>
        <v>3</v>
      </c>
      <c r="X17" s="2" t="s">
        <v>4</v>
      </c>
      <c r="Y17" s="2" t="s">
        <v>8</v>
      </c>
      <c r="Z17" s="4">
        <f t="shared" si="6"/>
        <v>1.0983914704596673</v>
      </c>
      <c r="AA17" s="2" t="s">
        <v>3</v>
      </c>
      <c r="AB17" s="2" t="s">
        <v>9</v>
      </c>
      <c r="AC17" s="3">
        <f t="shared" si="7"/>
        <v>3</v>
      </c>
      <c r="AD17" s="2" t="s">
        <v>4</v>
      </c>
    </row>
    <row r="18" spans="1:30" x14ac:dyDescent="0.25">
      <c r="C18" s="9">
        <f>-0.3682*G18^2 + 36.465*G18 + 10.648</f>
        <v>123.56563200000001</v>
      </c>
      <c r="D18" s="10">
        <f t="shared" si="0"/>
        <v>0.36292191037755056</v>
      </c>
      <c r="E18" s="9">
        <f t="shared" si="2"/>
        <v>118.971630526236</v>
      </c>
      <c r="F18" s="11">
        <f t="shared" si="3"/>
        <v>1.129493430504775</v>
      </c>
      <c r="G18" s="9">
        <v>3.2</v>
      </c>
      <c r="R18" s="2"/>
      <c r="S18" s="2" t="s">
        <v>8</v>
      </c>
      <c r="T18" s="4">
        <f t="shared" si="4"/>
        <v>0.36292191037755056</v>
      </c>
      <c r="U18" s="2" t="s">
        <v>3</v>
      </c>
      <c r="V18" s="2" t="s">
        <v>9</v>
      </c>
      <c r="W18" s="3">
        <f t="shared" si="5"/>
        <v>3.2</v>
      </c>
      <c r="X18" s="2" t="s">
        <v>4</v>
      </c>
      <c r="Y18" s="2" t="s">
        <v>8</v>
      </c>
      <c r="Z18" s="4">
        <f t="shared" si="6"/>
        <v>1.129493430504775</v>
      </c>
      <c r="AA18" s="2" t="s">
        <v>3</v>
      </c>
      <c r="AB18" s="2" t="s">
        <v>9</v>
      </c>
      <c r="AC18" s="3">
        <f t="shared" si="7"/>
        <v>3.2</v>
      </c>
      <c r="AD18" s="2" t="s">
        <v>4</v>
      </c>
    </row>
    <row r="19" spans="1:30" x14ac:dyDescent="0.25">
      <c r="C19" s="9">
        <f t="shared" si="1"/>
        <v>130.37260800000001</v>
      </c>
      <c r="D19" s="10">
        <f t="shared" si="0"/>
        <v>0.38060866244911695</v>
      </c>
      <c r="E19" s="9">
        <f t="shared" si="2"/>
        <v>125.26896978369577</v>
      </c>
      <c r="F19" s="11">
        <f t="shared" si="3"/>
        <v>1.1587441144609572</v>
      </c>
      <c r="G19" s="9">
        <v>3.4</v>
      </c>
      <c r="R19" s="2"/>
      <c r="S19" s="2" t="s">
        <v>8</v>
      </c>
      <c r="T19" s="4">
        <f t="shared" si="4"/>
        <v>0.38060866244911695</v>
      </c>
      <c r="U19" s="2" t="s">
        <v>3</v>
      </c>
      <c r="V19" s="2" t="s">
        <v>9</v>
      </c>
      <c r="W19" s="3">
        <f t="shared" si="5"/>
        <v>3.4</v>
      </c>
      <c r="X19" s="2" t="s">
        <v>4</v>
      </c>
      <c r="Y19" s="2" t="s">
        <v>8</v>
      </c>
      <c r="Z19" s="4">
        <f t="shared" si="6"/>
        <v>1.1587441144609572</v>
      </c>
      <c r="AA19" s="2" t="s">
        <v>3</v>
      </c>
      <c r="AB19" s="2" t="s">
        <v>9</v>
      </c>
      <c r="AC19" s="3">
        <f t="shared" si="7"/>
        <v>3.4</v>
      </c>
      <c r="AD19" s="2" t="s">
        <v>4</v>
      </c>
    </row>
    <row r="20" spans="1:30" x14ac:dyDescent="0.25">
      <c r="C20" s="9">
        <f t="shared" si="1"/>
        <v>137.15012800000002</v>
      </c>
      <c r="D20" s="10">
        <f t="shared" si="0"/>
        <v>0.39800850499486562</v>
      </c>
      <c r="E20" s="9">
        <f t="shared" si="2"/>
        <v>131.51353483249707</v>
      </c>
      <c r="F20" s="11">
        <f t="shared" si="3"/>
        <v>1.1863032832405502</v>
      </c>
      <c r="G20" s="9">
        <v>3.6</v>
      </c>
      <c r="R20" s="2"/>
      <c r="S20" s="2" t="s">
        <v>8</v>
      </c>
      <c r="T20" s="4">
        <f t="shared" si="4"/>
        <v>0.39800850499486562</v>
      </c>
      <c r="U20" s="2" t="s">
        <v>3</v>
      </c>
      <c r="V20" s="2" t="s">
        <v>9</v>
      </c>
      <c r="W20" s="3">
        <f t="shared" si="5"/>
        <v>3.6</v>
      </c>
      <c r="X20" s="2" t="s">
        <v>4</v>
      </c>
      <c r="Y20" s="2" t="s">
        <v>8</v>
      </c>
      <c r="Z20" s="4">
        <f t="shared" si="6"/>
        <v>1.1863032832405502</v>
      </c>
      <c r="AA20" s="2" t="s">
        <v>3</v>
      </c>
      <c r="AB20" s="2" t="s">
        <v>9</v>
      </c>
      <c r="AC20" s="3">
        <f t="shared" si="7"/>
        <v>3.6</v>
      </c>
      <c r="AD20" s="2" t="s">
        <v>4</v>
      </c>
    </row>
    <row r="21" spans="1:30" x14ac:dyDescent="0.25">
      <c r="C21" s="9">
        <f t="shared" si="1"/>
        <v>143.89819199999999</v>
      </c>
      <c r="D21" s="10">
        <f t="shared" si="0"/>
        <v>0.41512788194003886</v>
      </c>
      <c r="E21" s="9">
        <f t="shared" si="2"/>
        <v>137.70581158889541</v>
      </c>
      <c r="F21" s="11">
        <f t="shared" si="3"/>
        <v>1.2123128233549263</v>
      </c>
      <c r="G21" s="9">
        <v>3.8</v>
      </c>
      <c r="R21" s="2"/>
      <c r="S21" s="2" t="s">
        <v>8</v>
      </c>
      <c r="T21" s="4">
        <f t="shared" si="4"/>
        <v>0.41512788194003886</v>
      </c>
      <c r="U21" s="2" t="s">
        <v>3</v>
      </c>
      <c r="V21" s="2" t="s">
        <v>9</v>
      </c>
      <c r="W21" s="3">
        <f t="shared" si="5"/>
        <v>3.8</v>
      </c>
      <c r="X21" s="2" t="s">
        <v>4</v>
      </c>
      <c r="Y21" s="2" t="s">
        <v>8</v>
      </c>
      <c r="Z21" s="4">
        <f t="shared" si="6"/>
        <v>1.2123128233549263</v>
      </c>
      <c r="AA21" s="2" t="s">
        <v>3</v>
      </c>
      <c r="AB21" s="2" t="s">
        <v>9</v>
      </c>
      <c r="AC21" s="3">
        <f t="shared" si="7"/>
        <v>3.8</v>
      </c>
      <c r="AD21" s="2" t="s">
        <v>4</v>
      </c>
    </row>
    <row r="22" spans="1:30" x14ac:dyDescent="0.25">
      <c r="C22" s="9">
        <f t="shared" si="1"/>
        <v>150.61680000000001</v>
      </c>
      <c r="D22" s="10">
        <f t="shared" si="0"/>
        <v>0.43197304263243852</v>
      </c>
      <c r="E22" s="9">
        <f t="shared" si="2"/>
        <v>143.84627928804036</v>
      </c>
      <c r="F22" s="11">
        <f t="shared" si="3"/>
        <v>1.2368991786253869</v>
      </c>
      <c r="G22" s="9">
        <v>4</v>
      </c>
      <c r="R22" s="2"/>
      <c r="S22" s="2" t="s">
        <v>8</v>
      </c>
      <c r="T22" s="4">
        <f t="shared" si="4"/>
        <v>0.43197304263243852</v>
      </c>
      <c r="U22" s="2" t="s">
        <v>3</v>
      </c>
      <c r="V22" s="2" t="s">
        <v>9</v>
      </c>
      <c r="W22" s="3">
        <f t="shared" si="5"/>
        <v>4</v>
      </c>
      <c r="X22" s="2" t="s">
        <v>4</v>
      </c>
      <c r="Y22" s="2" t="s">
        <v>8</v>
      </c>
      <c r="Z22" s="4">
        <f t="shared" si="6"/>
        <v>1.2368991786253869</v>
      </c>
      <c r="AA22" s="2" t="s">
        <v>3</v>
      </c>
      <c r="AB22" s="2" t="s">
        <v>9</v>
      </c>
      <c r="AC22" s="3">
        <f t="shared" si="7"/>
        <v>4</v>
      </c>
      <c r="AD22" s="2" t="s">
        <v>4</v>
      </c>
    </row>
    <row r="23" spans="1:30" x14ac:dyDescent="0.25">
      <c r="C23" s="9">
        <f t="shared" si="1"/>
        <v>157.30595200000002</v>
      </c>
      <c r="D23" s="10">
        <f t="shared" si="0"/>
        <v>0.44855004910577012</v>
      </c>
      <c r="E23" s="9">
        <f t="shared" si="2"/>
        <v>149.93541059316598</v>
      </c>
      <c r="F23" s="11">
        <f t="shared" si="3"/>
        <v>1.2601753954242314</v>
      </c>
      <c r="G23" s="9">
        <v>4.2</v>
      </c>
      <c r="R23" s="2"/>
      <c r="S23" s="2" t="s">
        <v>8</v>
      </c>
      <c r="T23" s="4">
        <f t="shared" si="4"/>
        <v>0.44855004910577012</v>
      </c>
      <c r="U23" s="2" t="s">
        <v>3</v>
      </c>
      <c r="V23" s="2" t="s">
        <v>9</v>
      </c>
      <c r="W23" s="3">
        <f t="shared" si="5"/>
        <v>4.2</v>
      </c>
      <c r="X23" s="2" t="s">
        <v>4</v>
      </c>
      <c r="Y23" s="2" t="s">
        <v>8</v>
      </c>
      <c r="Z23" s="4">
        <f t="shared" si="6"/>
        <v>1.2601753954242314</v>
      </c>
      <c r="AA23" s="2" t="s">
        <v>3</v>
      </c>
      <c r="AB23" s="2" t="s">
        <v>9</v>
      </c>
      <c r="AC23" s="3">
        <f t="shared" si="7"/>
        <v>4.2</v>
      </c>
      <c r="AD23" s="2" t="s">
        <v>4</v>
      </c>
    </row>
    <row r="24" spans="1:30" x14ac:dyDescent="0.25">
      <c r="C24" s="9">
        <f t="shared" si="1"/>
        <v>163.96564800000002</v>
      </c>
      <c r="D24" s="10">
        <f t="shared" si="0"/>
        <v>0.46486478301978196</v>
      </c>
      <c r="E24" s="9">
        <f t="shared" si="2"/>
        <v>155.97367170260711</v>
      </c>
      <c r="F24" s="11">
        <f t="shared" si="3"/>
        <v>1.2822428512550998</v>
      </c>
      <c r="G24" s="9">
        <v>4.4000000000000004</v>
      </c>
      <c r="R24" s="2"/>
      <c r="S24" s="2" t="s">
        <v>8</v>
      </c>
      <c r="T24" s="4">
        <f t="shared" si="4"/>
        <v>0.46486478301978196</v>
      </c>
      <c r="U24" s="2" t="s">
        <v>3</v>
      </c>
      <c r="V24" s="2" t="s">
        <v>9</v>
      </c>
      <c r="W24" s="3">
        <f t="shared" si="5"/>
        <v>4.4000000000000004</v>
      </c>
      <c r="X24" s="2" t="s">
        <v>4</v>
      </c>
      <c r="Y24" s="2" t="s">
        <v>8</v>
      </c>
      <c r="Z24" s="4">
        <f t="shared" si="6"/>
        <v>1.2822428512550998</v>
      </c>
      <c r="AA24" s="2" t="s">
        <v>3</v>
      </c>
      <c r="AB24" s="2" t="s">
        <v>9</v>
      </c>
      <c r="AC24" s="3">
        <f t="shared" si="7"/>
        <v>4.4000000000000004</v>
      </c>
      <c r="AD24" s="2" t="s">
        <v>4</v>
      </c>
    </row>
    <row r="25" spans="1:30" x14ac:dyDescent="0.25">
      <c r="C25" s="9">
        <f t="shared" si="1"/>
        <v>170.595888</v>
      </c>
      <c r="D25" s="10">
        <f t="shared" si="0"/>
        <v>0.48092295229384907</v>
      </c>
      <c r="E25" s="9">
        <f t="shared" si="2"/>
        <v>161.96152245469068</v>
      </c>
      <c r="F25" s="11">
        <f t="shared" si="3"/>
        <v>1.3031927224329918</v>
      </c>
      <c r="G25" s="9">
        <v>4.5999999999999996</v>
      </c>
      <c r="R25" s="2"/>
      <c r="S25" s="2" t="s">
        <v>8</v>
      </c>
      <c r="T25" s="4">
        <f t="shared" si="4"/>
        <v>0.48092295229384907</v>
      </c>
      <c r="U25" s="2" t="s">
        <v>3</v>
      </c>
      <c r="V25" s="2" t="s">
        <v>9</v>
      </c>
      <c r="W25" s="3">
        <f t="shared" si="5"/>
        <v>4.5999999999999996</v>
      </c>
      <c r="X25" s="2" t="s">
        <v>4</v>
      </c>
      <c r="Y25" s="2" t="s">
        <v>8</v>
      </c>
      <c r="Z25" s="4">
        <f t="shared" si="6"/>
        <v>1.3031927224329918</v>
      </c>
      <c r="AA25" s="2" t="s">
        <v>3</v>
      </c>
      <c r="AB25" s="2" t="s">
        <v>9</v>
      </c>
      <c r="AC25" s="3">
        <f t="shared" si="7"/>
        <v>4.5999999999999996</v>
      </c>
      <c r="AD25" s="2" t="s">
        <v>4</v>
      </c>
    </row>
    <row r="26" spans="1:30" x14ac:dyDescent="0.25">
      <c r="C26" s="9">
        <f t="shared" si="1"/>
        <v>177.19667200000001</v>
      </c>
      <c r="D26" s="10">
        <f t="shared" si="0"/>
        <v>0.49673009744968083</v>
      </c>
      <c r="E26" s="9">
        <f t="shared" si="2"/>
        <v>167.8994164305513</v>
      </c>
      <c r="F26" s="11">
        <f t="shared" si="3"/>
        <v>1.3231072356782678</v>
      </c>
      <c r="G26" s="9">
        <v>4.8</v>
      </c>
      <c r="R26" s="2"/>
      <c r="S26" s="2" t="s">
        <v>8</v>
      </c>
      <c r="T26" s="4">
        <f t="shared" si="4"/>
        <v>0.49673009744968083</v>
      </c>
      <c r="U26" s="2" t="s">
        <v>3</v>
      </c>
      <c r="V26" s="2" t="s">
        <v>9</v>
      </c>
      <c r="W26" s="3">
        <f t="shared" si="5"/>
        <v>4.8</v>
      </c>
      <c r="X26" s="2" t="s">
        <v>4</v>
      </c>
      <c r="Y26" s="2" t="s">
        <v>8</v>
      </c>
      <c r="Z26" s="4">
        <f t="shared" si="6"/>
        <v>1.3231072356782678</v>
      </c>
      <c r="AA26" s="2" t="s">
        <v>3</v>
      </c>
      <c r="AB26" s="2" t="s">
        <v>9</v>
      </c>
      <c r="AC26" s="3">
        <f t="shared" si="7"/>
        <v>4.8</v>
      </c>
      <c r="AD26" s="2" t="s">
        <v>4</v>
      </c>
    </row>
    <row r="27" spans="1:30" x14ac:dyDescent="0.25">
      <c r="C27" s="9">
        <f t="shared" si="1"/>
        <v>183.768</v>
      </c>
      <c r="D27" s="10">
        <f t="shared" si="0"/>
        <v>0.51229159767792332</v>
      </c>
      <c r="E27" s="9">
        <f t="shared" si="2"/>
        <v>173.78780105491865</v>
      </c>
      <c r="F27" s="11">
        <f t="shared" si="3"/>
        <v>1.3420607398523074</v>
      </c>
      <c r="G27" s="9">
        <v>5</v>
      </c>
      <c r="R27" s="2"/>
      <c r="S27" s="2" t="s">
        <v>8</v>
      </c>
      <c r="T27" s="4">
        <f t="shared" si="4"/>
        <v>0.51229159767792332</v>
      </c>
      <c r="U27" s="2" t="s">
        <v>3</v>
      </c>
      <c r="V27" s="2" t="s">
        <v>9</v>
      </c>
      <c r="W27" s="3">
        <f t="shared" si="5"/>
        <v>5</v>
      </c>
      <c r="X27" s="2" t="s">
        <v>5</v>
      </c>
      <c r="Y27" s="2" t="s">
        <v>8</v>
      </c>
      <c r="Z27" s="4">
        <f t="shared" si="6"/>
        <v>1.3420607398523074</v>
      </c>
      <c r="AA27" s="2" t="s">
        <v>3</v>
      </c>
      <c r="AB27" s="2" t="s">
        <v>9</v>
      </c>
      <c r="AC27" s="3">
        <f t="shared" si="7"/>
        <v>5</v>
      </c>
      <c r="AD27" s="2" t="s">
        <v>5</v>
      </c>
    </row>
    <row r="28" spans="1:30" x14ac:dyDescent="0.25">
      <c r="R28" s="2"/>
      <c r="S28" s="2" t="s">
        <v>7</v>
      </c>
      <c r="T28" s="4"/>
      <c r="U28" s="2"/>
      <c r="V28" s="2"/>
      <c r="W28" s="3"/>
      <c r="X28" s="2"/>
      <c r="Y28" s="2" t="s">
        <v>7</v>
      </c>
      <c r="Z28" s="4"/>
      <c r="AA28" s="2"/>
      <c r="AB28" s="2"/>
      <c r="AC28" s="3"/>
      <c r="AD28" s="2"/>
    </row>
    <row r="32" spans="1:30" x14ac:dyDescent="0.25">
      <c r="A32" t="s">
        <v>18</v>
      </c>
    </row>
    <row r="33" spans="1:1" x14ac:dyDescent="0.25">
      <c r="A33" s="6" t="s">
        <v>21</v>
      </c>
    </row>
    <row r="54" spans="20:27" x14ac:dyDescent="0.25">
      <c r="T54"/>
      <c r="U54">
        <v>71.900000000000006</v>
      </c>
      <c r="Z54"/>
      <c r="AA54">
        <v>71.900000000000006</v>
      </c>
    </row>
  </sheetData>
  <hyperlinks>
    <hyperlink ref="A33" r:id="rId1" xr:uid="{1F01AA02-3B52-4737-9968-98661771F6C4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B430-22D6-4B3A-9457-9E587F0FF4F9}">
  <dimension ref="A1:AD54"/>
  <sheetViews>
    <sheetView zoomScale="85" zoomScaleNormal="85" workbookViewId="0">
      <selection activeCell="A34" sqref="A34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style="9" bestFit="1" customWidth="1"/>
    <col min="4" max="5" width="12.42578125" style="9" customWidth="1"/>
    <col min="6" max="6" width="14.5703125" style="9" bestFit="1" customWidth="1"/>
    <col min="7" max="7" width="16.7109375" style="9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5.7109375" style="13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4.42578125" style="13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22</v>
      </c>
      <c r="R1" s="2" t="s">
        <v>6</v>
      </c>
      <c r="S1" s="2"/>
      <c r="T1" s="4"/>
      <c r="U1" s="2"/>
      <c r="V1" s="2"/>
      <c r="W1" s="12"/>
      <c r="X1" s="2"/>
      <c r="Y1" s="2" t="s">
        <v>17</v>
      </c>
      <c r="Z1" s="4"/>
      <c r="AA1" s="2"/>
      <c r="AB1" s="2"/>
      <c r="AC1" s="12"/>
      <c r="AD1" s="2"/>
    </row>
    <row r="2" spans="1:30" x14ac:dyDescent="0.25">
      <c r="A2">
        <v>1000</v>
      </c>
      <c r="B2">
        <v>3.3</v>
      </c>
      <c r="C2" s="9">
        <v>10</v>
      </c>
      <c r="D2" s="10">
        <f t="shared" ref="D2:D27" si="0">($B$2*C2)/($A$2+C2)</f>
        <v>3.2673267326732675E-2</v>
      </c>
      <c r="E2" s="9">
        <f>C2*($A$6+$A$7)/(C2+$A$6+$A$7)</f>
        <v>9.9688473520249214</v>
      </c>
      <c r="F2" s="11">
        <f>(($B$2*E2)/($B$6+E2))*$A$6/($A$6+$A$7)</f>
        <v>0.17401725790987535</v>
      </c>
      <c r="G2" s="9">
        <v>0</v>
      </c>
      <c r="R2" s="2"/>
      <c r="S2" s="2" t="s">
        <v>8</v>
      </c>
      <c r="T2" s="4">
        <f>D2</f>
        <v>3.2673267326732675E-2</v>
      </c>
      <c r="U2" s="2" t="s">
        <v>3</v>
      </c>
      <c r="V2" s="2" t="s">
        <v>9</v>
      </c>
      <c r="W2" s="12">
        <f>G2</f>
        <v>0</v>
      </c>
      <c r="X2" s="2" t="s">
        <v>4</v>
      </c>
      <c r="Y2" s="2" t="s">
        <v>8</v>
      </c>
      <c r="Z2" s="4">
        <f>F2</f>
        <v>0.17401725790987535</v>
      </c>
      <c r="AA2" s="2" t="s">
        <v>3</v>
      </c>
      <c r="AB2" s="2" t="s">
        <v>9</v>
      </c>
      <c r="AC2" s="12">
        <f>G2</f>
        <v>0</v>
      </c>
      <c r="AD2" s="2" t="s">
        <v>4</v>
      </c>
    </row>
    <row r="3" spans="1:30" x14ac:dyDescent="0.25">
      <c r="C3" s="9">
        <v>16</v>
      </c>
      <c r="D3" s="10">
        <f>($B$2*C3)/($A$2+C3)</f>
        <v>5.1968503937007873E-2</v>
      </c>
      <c r="E3" s="9">
        <f t="shared" ref="E3:E27" si="1">C3*($A$6+$A$7)/(C3+$A$6+$A$7)</f>
        <v>15.920398009950249</v>
      </c>
      <c r="F3" s="11">
        <f t="shared" ref="F3:F27" si="2">(($B$2*E3)/($B$6+E3))*$A$6/($A$6+$A$7)</f>
        <v>0.26573938506588574</v>
      </c>
      <c r="G3" s="9">
        <v>0.4</v>
      </c>
      <c r="R3" s="2"/>
      <c r="S3" s="2" t="s">
        <v>8</v>
      </c>
      <c r="T3" s="4">
        <f t="shared" ref="T3:T27" si="3">D3</f>
        <v>5.1968503937007873E-2</v>
      </c>
      <c r="U3" s="2" t="s">
        <v>3</v>
      </c>
      <c r="V3" s="2" t="s">
        <v>9</v>
      </c>
      <c r="W3" s="12">
        <f t="shared" ref="W3:W25" si="4">G3</f>
        <v>0.4</v>
      </c>
      <c r="X3" s="2" t="s">
        <v>4</v>
      </c>
      <c r="Y3" s="2" t="s">
        <v>8</v>
      </c>
      <c r="Z3" s="4">
        <f t="shared" ref="Z3:Z27" si="5">F3</f>
        <v>0.26573938506588574</v>
      </c>
      <c r="AA3" s="2" t="s">
        <v>3</v>
      </c>
      <c r="AB3" s="2" t="s">
        <v>9</v>
      </c>
      <c r="AC3" s="12">
        <f t="shared" ref="AC3:AC27" si="6">G3</f>
        <v>0.4</v>
      </c>
      <c r="AD3" s="2" t="s">
        <v>4</v>
      </c>
    </row>
    <row r="4" spans="1:30" x14ac:dyDescent="0.25">
      <c r="A4" t="s">
        <v>13</v>
      </c>
      <c r="C4" s="9">
        <v>22</v>
      </c>
      <c r="D4" s="10">
        <f t="shared" si="0"/>
        <v>7.1037181996086093E-2</v>
      </c>
      <c r="E4" s="9">
        <f t="shared" si="1"/>
        <v>21.849782743637491</v>
      </c>
      <c r="F4" s="11">
        <f t="shared" si="2"/>
        <v>0.34946612987922276</v>
      </c>
      <c r="G4" s="9">
        <v>0.8</v>
      </c>
      <c r="R4" s="2"/>
      <c r="S4" s="2" t="s">
        <v>8</v>
      </c>
      <c r="T4" s="4">
        <f t="shared" si="3"/>
        <v>7.1037181996086093E-2</v>
      </c>
      <c r="U4" s="2" t="s">
        <v>3</v>
      </c>
      <c r="V4" s="2" t="s">
        <v>9</v>
      </c>
      <c r="W4" s="12">
        <f t="shared" si="4"/>
        <v>0.8</v>
      </c>
      <c r="X4" s="2" t="s">
        <v>4</v>
      </c>
      <c r="Y4" s="2" t="s">
        <v>8</v>
      </c>
      <c r="Z4" s="4">
        <f t="shared" si="5"/>
        <v>0.34946612987922276</v>
      </c>
      <c r="AA4" s="2" t="s">
        <v>3</v>
      </c>
      <c r="AB4" s="2" t="s">
        <v>9</v>
      </c>
      <c r="AC4" s="12">
        <f t="shared" si="6"/>
        <v>0.8</v>
      </c>
      <c r="AD4" s="2" t="s">
        <v>4</v>
      </c>
    </row>
    <row r="5" spans="1:30" x14ac:dyDescent="0.25">
      <c r="A5" t="s">
        <v>11</v>
      </c>
      <c r="B5" t="s">
        <v>14</v>
      </c>
      <c r="C5" s="9">
        <v>28</v>
      </c>
      <c r="D5" s="10">
        <f t="shared" si="0"/>
        <v>8.9883268482490258E-2</v>
      </c>
      <c r="E5" s="9">
        <f t="shared" si="1"/>
        <v>27.757125154894673</v>
      </c>
      <c r="F5" s="11">
        <f t="shared" si="2"/>
        <v>0.42619926199261998</v>
      </c>
      <c r="G5" s="9">
        <v>1.2</v>
      </c>
      <c r="R5" s="2"/>
      <c r="S5" s="2" t="s">
        <v>8</v>
      </c>
      <c r="T5" s="4">
        <f t="shared" si="3"/>
        <v>8.9883268482490258E-2</v>
      </c>
      <c r="U5" s="2" t="s">
        <v>3</v>
      </c>
      <c r="V5" s="2" t="s">
        <v>9</v>
      </c>
      <c r="W5" s="12">
        <f t="shared" si="4"/>
        <v>1.2</v>
      </c>
      <c r="X5" s="2" t="s">
        <v>4</v>
      </c>
      <c r="Y5" s="2" t="s">
        <v>8</v>
      </c>
      <c r="Z5" s="4">
        <f t="shared" si="5"/>
        <v>0.42619926199261998</v>
      </c>
      <c r="AA5" s="2" t="s">
        <v>3</v>
      </c>
      <c r="AB5" s="2" t="s">
        <v>9</v>
      </c>
      <c r="AC5" s="12">
        <f t="shared" si="6"/>
        <v>1.2</v>
      </c>
      <c r="AD5" s="2" t="s">
        <v>4</v>
      </c>
    </row>
    <row r="6" spans="1:30" x14ac:dyDescent="0.25">
      <c r="A6">
        <v>2200</v>
      </c>
      <c r="B6">
        <v>120</v>
      </c>
      <c r="C6" s="9">
        <v>34</v>
      </c>
      <c r="D6" s="10">
        <f t="shared" si="0"/>
        <v>0.10851063829787233</v>
      </c>
      <c r="E6" s="9">
        <f t="shared" si="1"/>
        <v>33.642547928262211</v>
      </c>
      <c r="F6" s="11">
        <f t="shared" si="2"/>
        <v>0.49677990661729182</v>
      </c>
      <c r="G6" s="9">
        <v>1.6</v>
      </c>
      <c r="R6" s="2"/>
      <c r="S6" s="2" t="s">
        <v>8</v>
      </c>
      <c r="T6" s="4">
        <f t="shared" si="3"/>
        <v>0.10851063829787233</v>
      </c>
      <c r="U6" s="2" t="s">
        <v>3</v>
      </c>
      <c r="V6" s="2" t="s">
        <v>9</v>
      </c>
      <c r="W6" s="12">
        <f t="shared" si="4"/>
        <v>1.6</v>
      </c>
      <c r="X6" s="2" t="s">
        <v>4</v>
      </c>
      <c r="Y6" s="2" t="s">
        <v>8</v>
      </c>
      <c r="Z6" s="4">
        <f t="shared" si="5"/>
        <v>0.49677990661729182</v>
      </c>
      <c r="AA6" s="2" t="s">
        <v>3</v>
      </c>
      <c r="AB6" s="2" t="s">
        <v>9</v>
      </c>
      <c r="AC6" s="12">
        <f t="shared" si="6"/>
        <v>1.6</v>
      </c>
      <c r="AD6" s="2" t="s">
        <v>4</v>
      </c>
    </row>
    <row r="7" spans="1:30" x14ac:dyDescent="0.25">
      <c r="A7">
        <v>1000</v>
      </c>
      <c r="C7" s="9">
        <v>40</v>
      </c>
      <c r="D7" s="10">
        <f t="shared" si="0"/>
        <v>0.12692307692307692</v>
      </c>
      <c r="E7" s="9">
        <f t="shared" si="1"/>
        <v>39.506172839506171</v>
      </c>
      <c r="F7" s="11">
        <f t="shared" si="2"/>
        <v>0.56191950464396279</v>
      </c>
      <c r="G7" s="9">
        <v>2</v>
      </c>
      <c r="R7" s="2"/>
      <c r="S7" s="2" t="s">
        <v>8</v>
      </c>
      <c r="T7" s="4">
        <f t="shared" si="3"/>
        <v>0.12692307692307692</v>
      </c>
      <c r="U7" s="2" t="s">
        <v>3</v>
      </c>
      <c r="V7" s="2" t="s">
        <v>9</v>
      </c>
      <c r="W7" s="12">
        <f t="shared" si="4"/>
        <v>2</v>
      </c>
      <c r="X7" s="2" t="s">
        <v>4</v>
      </c>
      <c r="Y7" s="2" t="s">
        <v>8</v>
      </c>
      <c r="Z7" s="4">
        <f t="shared" si="5"/>
        <v>0.56191950464396279</v>
      </c>
      <c r="AA7" s="2" t="s">
        <v>3</v>
      </c>
      <c r="AB7" s="2" t="s">
        <v>9</v>
      </c>
      <c r="AC7" s="12">
        <f t="shared" si="6"/>
        <v>2</v>
      </c>
      <c r="AD7" s="2" t="s">
        <v>4</v>
      </c>
    </row>
    <row r="8" spans="1:30" x14ac:dyDescent="0.25">
      <c r="C8" s="9">
        <v>46</v>
      </c>
      <c r="D8" s="10">
        <f>($B$2*C8)/($A$2+C8)</f>
        <v>0.14512428298279156</v>
      </c>
      <c r="E8" s="9">
        <f t="shared" si="1"/>
        <v>45.348120764017253</v>
      </c>
      <c r="F8" s="11">
        <f t="shared" si="2"/>
        <v>0.62222387837233561</v>
      </c>
      <c r="G8" s="9">
        <v>2.4</v>
      </c>
      <c r="R8" s="2"/>
      <c r="S8" s="2" t="s">
        <v>8</v>
      </c>
      <c r="T8" s="4">
        <f t="shared" si="3"/>
        <v>0.14512428298279156</v>
      </c>
      <c r="U8" s="2" t="s">
        <v>3</v>
      </c>
      <c r="V8" s="2" t="s">
        <v>9</v>
      </c>
      <c r="W8" s="12">
        <f t="shared" si="4"/>
        <v>2.4</v>
      </c>
      <c r="X8" s="2" t="s">
        <v>4</v>
      </c>
      <c r="Y8" s="2" t="s">
        <v>8</v>
      </c>
      <c r="Z8" s="4">
        <f t="shared" si="5"/>
        <v>0.62222387837233561</v>
      </c>
      <c r="AA8" s="2" t="s">
        <v>3</v>
      </c>
      <c r="AB8" s="2" t="s">
        <v>9</v>
      </c>
      <c r="AC8" s="12">
        <f t="shared" si="6"/>
        <v>2.4</v>
      </c>
      <c r="AD8" s="2" t="s">
        <v>4</v>
      </c>
    </row>
    <row r="9" spans="1:30" x14ac:dyDescent="0.25">
      <c r="C9" s="9">
        <v>52</v>
      </c>
      <c r="D9" s="10">
        <f t="shared" si="0"/>
        <v>0.16311787072243344</v>
      </c>
      <c r="E9" s="9">
        <f t="shared" si="1"/>
        <v>51.168511685116854</v>
      </c>
      <c r="F9" s="11">
        <f t="shared" si="2"/>
        <v>0.67821212992239144</v>
      </c>
      <c r="G9" s="9">
        <v>2.8</v>
      </c>
      <c r="R9" s="2"/>
      <c r="S9" s="2" t="s">
        <v>8</v>
      </c>
      <c r="T9" s="4">
        <f t="shared" si="3"/>
        <v>0.16311787072243344</v>
      </c>
      <c r="U9" s="2" t="s">
        <v>3</v>
      </c>
      <c r="V9" s="2" t="s">
        <v>9</v>
      </c>
      <c r="W9" s="12">
        <f t="shared" si="4"/>
        <v>2.8</v>
      </c>
      <c r="X9" s="2" t="s">
        <v>4</v>
      </c>
      <c r="Y9" s="2" t="s">
        <v>8</v>
      </c>
      <c r="Z9" s="4">
        <f t="shared" si="5"/>
        <v>0.67821212992239144</v>
      </c>
      <c r="AA9" s="2" t="s">
        <v>3</v>
      </c>
      <c r="AB9" s="2" t="s">
        <v>9</v>
      </c>
      <c r="AC9" s="12">
        <f t="shared" si="6"/>
        <v>2.8</v>
      </c>
      <c r="AD9" s="2" t="s">
        <v>4</v>
      </c>
    </row>
    <row r="10" spans="1:30" x14ac:dyDescent="0.25">
      <c r="C10" s="9">
        <v>58</v>
      </c>
      <c r="D10" s="10">
        <f t="shared" si="0"/>
        <v>0.18090737240075613</v>
      </c>
      <c r="E10" s="9">
        <f t="shared" si="1"/>
        <v>56.967464702271329</v>
      </c>
      <c r="F10" s="11">
        <f t="shared" si="2"/>
        <v>0.73033162203413327</v>
      </c>
      <c r="G10" s="9">
        <v>3.2</v>
      </c>
      <c r="R10" s="2"/>
      <c r="S10" s="2" t="s">
        <v>8</v>
      </c>
      <c r="T10" s="4">
        <f t="shared" si="3"/>
        <v>0.18090737240075613</v>
      </c>
      <c r="U10" s="2" t="s">
        <v>3</v>
      </c>
      <c r="V10" s="2" t="s">
        <v>9</v>
      </c>
      <c r="W10" s="12">
        <f t="shared" si="4"/>
        <v>3.2</v>
      </c>
      <c r="X10" s="2" t="s">
        <v>4</v>
      </c>
      <c r="Y10" s="2" t="s">
        <v>8</v>
      </c>
      <c r="Z10" s="4">
        <f t="shared" si="5"/>
        <v>0.73033162203413327</v>
      </c>
      <c r="AA10" s="2" t="s">
        <v>3</v>
      </c>
      <c r="AB10" s="2" t="s">
        <v>9</v>
      </c>
      <c r="AC10" s="12">
        <f t="shared" si="6"/>
        <v>3.2</v>
      </c>
      <c r="AD10" s="2" t="s">
        <v>4</v>
      </c>
    </row>
    <row r="11" spans="1:30" x14ac:dyDescent="0.25">
      <c r="C11" s="9">
        <v>64</v>
      </c>
      <c r="D11" s="10">
        <f t="shared" si="0"/>
        <v>0.19849624060150375</v>
      </c>
      <c r="E11" s="9">
        <f t="shared" si="1"/>
        <v>62.745098039215684</v>
      </c>
      <c r="F11" s="11">
        <f t="shared" si="2"/>
        <v>0.77896995708154493</v>
      </c>
      <c r="G11" s="9">
        <v>3.6</v>
      </c>
      <c r="R11" s="2"/>
      <c r="S11" s="2" t="s">
        <v>8</v>
      </c>
      <c r="T11" s="4">
        <f t="shared" si="3"/>
        <v>0.19849624060150375</v>
      </c>
      <c r="U11" s="2" t="s">
        <v>3</v>
      </c>
      <c r="V11" s="2" t="s">
        <v>9</v>
      </c>
      <c r="W11" s="12">
        <f t="shared" si="4"/>
        <v>3.6</v>
      </c>
      <c r="X11" s="2" t="s">
        <v>4</v>
      </c>
      <c r="Y11" s="2" t="s">
        <v>8</v>
      </c>
      <c r="Z11" s="4">
        <f t="shared" si="5"/>
        <v>0.77896995708154493</v>
      </c>
      <c r="AA11" s="2" t="s">
        <v>3</v>
      </c>
      <c r="AB11" s="2" t="s">
        <v>9</v>
      </c>
      <c r="AC11" s="12">
        <f t="shared" si="6"/>
        <v>3.6</v>
      </c>
      <c r="AD11" s="2" t="s">
        <v>4</v>
      </c>
    </row>
    <row r="12" spans="1:30" x14ac:dyDescent="0.25">
      <c r="C12" s="9">
        <v>70</v>
      </c>
      <c r="D12" s="10">
        <f t="shared" si="0"/>
        <v>0.21588785046728973</v>
      </c>
      <c r="E12" s="9">
        <f t="shared" si="1"/>
        <v>68.501529051987774</v>
      </c>
      <c r="F12" s="11">
        <f t="shared" si="2"/>
        <v>0.82446463335496423</v>
      </c>
      <c r="G12" s="9">
        <v>4</v>
      </c>
      <c r="R12" s="2"/>
      <c r="S12" s="2" t="s">
        <v>8</v>
      </c>
      <c r="T12" s="4">
        <f t="shared" si="3"/>
        <v>0.21588785046728973</v>
      </c>
      <c r="U12" s="2" t="s">
        <v>3</v>
      </c>
      <c r="V12" s="2" t="s">
        <v>9</v>
      </c>
      <c r="W12" s="12">
        <f t="shared" si="4"/>
        <v>4</v>
      </c>
      <c r="X12" s="2" t="s">
        <v>4</v>
      </c>
      <c r="Y12" s="2" t="s">
        <v>8</v>
      </c>
      <c r="Z12" s="4">
        <f t="shared" si="5"/>
        <v>0.82446463335496423</v>
      </c>
      <c r="AA12" s="2" t="s">
        <v>3</v>
      </c>
      <c r="AB12" s="2" t="s">
        <v>9</v>
      </c>
      <c r="AC12" s="12">
        <f t="shared" si="6"/>
        <v>4</v>
      </c>
      <c r="AD12" s="2" t="s">
        <v>4</v>
      </c>
    </row>
    <row r="13" spans="1:30" x14ac:dyDescent="0.25">
      <c r="C13" s="9">
        <v>76</v>
      </c>
      <c r="D13" s="10">
        <f t="shared" si="0"/>
        <v>0.23308550185873605</v>
      </c>
      <c r="E13" s="9">
        <f t="shared" si="1"/>
        <v>74.236874236874243</v>
      </c>
      <c r="F13" s="11">
        <f t="shared" si="2"/>
        <v>0.86711088760372135</v>
      </c>
      <c r="G13" s="9">
        <v>4.4000000000000004</v>
      </c>
      <c r="R13" s="2"/>
      <c r="S13" s="2" t="s">
        <v>8</v>
      </c>
      <c r="T13" s="4">
        <f t="shared" si="3"/>
        <v>0.23308550185873605</v>
      </c>
      <c r="U13" s="2" t="s">
        <v>3</v>
      </c>
      <c r="V13" s="2" t="s">
        <v>9</v>
      </c>
      <c r="W13" s="12">
        <f t="shared" si="4"/>
        <v>4.4000000000000004</v>
      </c>
      <c r="X13" s="2" t="s">
        <v>4</v>
      </c>
      <c r="Y13" s="2" t="s">
        <v>8</v>
      </c>
      <c r="Z13" s="4">
        <f t="shared" si="5"/>
        <v>0.86711088760372135</v>
      </c>
      <c r="AA13" s="2" t="s">
        <v>3</v>
      </c>
      <c r="AB13" s="2" t="s">
        <v>9</v>
      </c>
      <c r="AC13" s="12">
        <f t="shared" si="6"/>
        <v>4.4000000000000004</v>
      </c>
      <c r="AD13" s="2" t="s">
        <v>4</v>
      </c>
    </row>
    <row r="14" spans="1:30" x14ac:dyDescent="0.25">
      <c r="C14" s="9">
        <v>82</v>
      </c>
      <c r="D14" s="10">
        <f t="shared" si="0"/>
        <v>0.25009242144177446</v>
      </c>
      <c r="E14" s="9">
        <f t="shared" si="1"/>
        <v>79.951249238269341</v>
      </c>
      <c r="F14" s="11">
        <f t="shared" si="2"/>
        <v>0.90716810922833102</v>
      </c>
      <c r="G14" s="9">
        <v>4.8</v>
      </c>
      <c r="R14" s="2"/>
      <c r="S14" s="2" t="s">
        <v>8</v>
      </c>
      <c r="T14" s="4">
        <f t="shared" si="3"/>
        <v>0.25009242144177446</v>
      </c>
      <c r="U14" s="2" t="s">
        <v>3</v>
      </c>
      <c r="V14" s="2" t="s">
        <v>9</v>
      </c>
      <c r="W14" s="12">
        <f t="shared" si="4"/>
        <v>4.8</v>
      </c>
      <c r="X14" s="2" t="s">
        <v>4</v>
      </c>
      <c r="Y14" s="2" t="s">
        <v>8</v>
      </c>
      <c r="Z14" s="4">
        <f t="shared" si="5"/>
        <v>0.90716810922833102</v>
      </c>
      <c r="AA14" s="2" t="s">
        <v>3</v>
      </c>
      <c r="AB14" s="2" t="s">
        <v>9</v>
      </c>
      <c r="AC14" s="12">
        <f t="shared" si="6"/>
        <v>4.8</v>
      </c>
      <c r="AD14" s="2" t="s">
        <v>4</v>
      </c>
    </row>
    <row r="15" spans="1:30" x14ac:dyDescent="0.25">
      <c r="C15" s="9">
        <v>88</v>
      </c>
      <c r="D15" s="10">
        <f t="shared" si="0"/>
        <v>0.26691176470588235</v>
      </c>
      <c r="E15" s="9">
        <f t="shared" si="1"/>
        <v>85.644768856447683</v>
      </c>
      <c r="F15" s="11">
        <f t="shared" si="2"/>
        <v>0.94486512068149553</v>
      </c>
      <c r="G15" s="9">
        <v>5.2</v>
      </c>
      <c r="R15" s="2"/>
      <c r="S15" s="2" t="s">
        <v>8</v>
      </c>
      <c r="T15" s="4">
        <f t="shared" si="3"/>
        <v>0.26691176470588235</v>
      </c>
      <c r="U15" s="2" t="s">
        <v>3</v>
      </c>
      <c r="V15" s="2" t="s">
        <v>9</v>
      </c>
      <c r="W15" s="12">
        <f t="shared" si="4"/>
        <v>5.2</v>
      </c>
      <c r="X15" s="2" t="s">
        <v>4</v>
      </c>
      <c r="Y15" s="2" t="s">
        <v>8</v>
      </c>
      <c r="Z15" s="4">
        <f t="shared" si="5"/>
        <v>0.94486512068149553</v>
      </c>
      <c r="AA15" s="2" t="s">
        <v>3</v>
      </c>
      <c r="AB15" s="2" t="s">
        <v>9</v>
      </c>
      <c r="AC15" s="12">
        <f t="shared" si="6"/>
        <v>5.2</v>
      </c>
      <c r="AD15" s="2" t="s">
        <v>4</v>
      </c>
    </row>
    <row r="16" spans="1:30" x14ac:dyDescent="0.25">
      <c r="C16" s="9">
        <v>94</v>
      </c>
      <c r="D16" s="10">
        <f t="shared" si="0"/>
        <v>0.28354661791590491</v>
      </c>
      <c r="E16" s="9">
        <f t="shared" si="1"/>
        <v>91.317547055251978</v>
      </c>
      <c r="F16" s="11">
        <f t="shared" si="2"/>
        <v>0.98040455120101144</v>
      </c>
      <c r="G16" s="9">
        <v>5.6</v>
      </c>
      <c r="R16" s="2"/>
      <c r="S16" s="2" t="s">
        <v>8</v>
      </c>
      <c r="T16" s="4">
        <f t="shared" si="3"/>
        <v>0.28354661791590491</v>
      </c>
      <c r="U16" s="2" t="s">
        <v>3</v>
      </c>
      <c r="V16" s="2" t="s">
        <v>9</v>
      </c>
      <c r="W16" s="12">
        <f t="shared" si="4"/>
        <v>5.6</v>
      </c>
      <c r="X16" s="2" t="s">
        <v>4</v>
      </c>
      <c r="Y16" s="2" t="s">
        <v>8</v>
      </c>
      <c r="Z16" s="4">
        <f t="shared" si="5"/>
        <v>0.98040455120101144</v>
      </c>
      <c r="AA16" s="2" t="s">
        <v>3</v>
      </c>
      <c r="AB16" s="2" t="s">
        <v>9</v>
      </c>
      <c r="AC16" s="12">
        <f t="shared" si="6"/>
        <v>5.6</v>
      </c>
      <c r="AD16" s="2" t="s">
        <v>4</v>
      </c>
    </row>
    <row r="17" spans="1:30" x14ac:dyDescent="0.25">
      <c r="C17" s="9">
        <v>100</v>
      </c>
      <c r="D17" s="10">
        <f t="shared" si="0"/>
        <v>0.3</v>
      </c>
      <c r="E17" s="9">
        <f t="shared" si="1"/>
        <v>96.969696969696969</v>
      </c>
      <c r="F17" s="11">
        <f t="shared" si="2"/>
        <v>1.0139664804469275</v>
      </c>
      <c r="G17" s="9">
        <v>6</v>
      </c>
      <c r="R17" s="2"/>
      <c r="S17" s="2" t="s">
        <v>8</v>
      </c>
      <c r="T17" s="4">
        <f t="shared" si="3"/>
        <v>0.3</v>
      </c>
      <c r="U17" s="2" t="s">
        <v>3</v>
      </c>
      <c r="V17" s="2" t="s">
        <v>9</v>
      </c>
      <c r="W17" s="12">
        <f t="shared" si="4"/>
        <v>6</v>
      </c>
      <c r="X17" s="2" t="s">
        <v>4</v>
      </c>
      <c r="Y17" s="2" t="s">
        <v>8</v>
      </c>
      <c r="Z17" s="4">
        <f t="shared" si="5"/>
        <v>1.0139664804469275</v>
      </c>
      <c r="AA17" s="2" t="s">
        <v>3</v>
      </c>
      <c r="AB17" s="2" t="s">
        <v>9</v>
      </c>
      <c r="AC17" s="12">
        <f t="shared" si="6"/>
        <v>6</v>
      </c>
      <c r="AD17" s="2" t="s">
        <v>4</v>
      </c>
    </row>
    <row r="18" spans="1:30" x14ac:dyDescent="0.25">
      <c r="C18" s="9">
        <v>106</v>
      </c>
      <c r="D18" s="10">
        <f t="shared" si="0"/>
        <v>0.31627486437613017</v>
      </c>
      <c r="E18" s="9">
        <f t="shared" si="1"/>
        <v>102.60133091349063</v>
      </c>
      <c r="F18" s="11">
        <f t="shared" si="2"/>
        <v>1.0457114903793889</v>
      </c>
      <c r="G18" s="9">
        <v>6.4</v>
      </c>
      <c r="R18" s="2"/>
      <c r="S18" s="2" t="s">
        <v>8</v>
      </c>
      <c r="T18" s="4">
        <f t="shared" si="3"/>
        <v>0.31627486437613017</v>
      </c>
      <c r="U18" s="2" t="s">
        <v>3</v>
      </c>
      <c r="V18" s="2" t="s">
        <v>9</v>
      </c>
      <c r="W18" s="12">
        <f t="shared" si="4"/>
        <v>6.4</v>
      </c>
      <c r="X18" s="2" t="s">
        <v>4</v>
      </c>
      <c r="Y18" s="2" t="s">
        <v>8</v>
      </c>
      <c r="Z18" s="4">
        <f t="shared" si="5"/>
        <v>1.0457114903793889</v>
      </c>
      <c r="AA18" s="2" t="s">
        <v>3</v>
      </c>
      <c r="AB18" s="2" t="s">
        <v>9</v>
      </c>
      <c r="AC18" s="12">
        <f t="shared" si="6"/>
        <v>6.4</v>
      </c>
      <c r="AD18" s="2" t="s">
        <v>4</v>
      </c>
    </row>
    <row r="19" spans="1:30" x14ac:dyDescent="0.25">
      <c r="C19" s="9">
        <v>112</v>
      </c>
      <c r="D19" s="10">
        <f t="shared" si="0"/>
        <v>0.33237410071942441</v>
      </c>
      <c r="E19" s="9">
        <f t="shared" si="1"/>
        <v>108.21256038647343</v>
      </c>
      <c r="F19" s="11">
        <f t="shared" si="2"/>
        <v>1.075783234546994</v>
      </c>
      <c r="G19" s="9">
        <v>6.8</v>
      </c>
      <c r="R19" s="2"/>
      <c r="S19" s="2" t="s">
        <v>8</v>
      </c>
      <c r="T19" s="4">
        <f t="shared" si="3"/>
        <v>0.33237410071942441</v>
      </c>
      <c r="U19" s="2" t="s">
        <v>3</v>
      </c>
      <c r="V19" s="2" t="s">
        <v>9</v>
      </c>
      <c r="W19" s="12">
        <f t="shared" si="4"/>
        <v>6.8</v>
      </c>
      <c r="X19" s="2" t="s">
        <v>4</v>
      </c>
      <c r="Y19" s="2" t="s">
        <v>8</v>
      </c>
      <c r="Z19" s="4">
        <f t="shared" si="5"/>
        <v>1.075783234546994</v>
      </c>
      <c r="AA19" s="2" t="s">
        <v>3</v>
      </c>
      <c r="AB19" s="2" t="s">
        <v>9</v>
      </c>
      <c r="AC19" s="12">
        <f t="shared" si="6"/>
        <v>6.8</v>
      </c>
      <c r="AD19" s="2" t="s">
        <v>4</v>
      </c>
    </row>
    <row r="20" spans="1:30" x14ac:dyDescent="0.25">
      <c r="C20" s="9">
        <v>118</v>
      </c>
      <c r="D20" s="10">
        <f t="shared" si="0"/>
        <v>0.34830053667262967</v>
      </c>
      <c r="E20" s="9">
        <f t="shared" si="1"/>
        <v>113.8034960819771</v>
      </c>
      <c r="F20" s="11">
        <f t="shared" si="2"/>
        <v>1.1043106115293388</v>
      </c>
      <c r="G20" s="9">
        <v>7.2</v>
      </c>
      <c r="R20" s="2"/>
      <c r="S20" s="2" t="s">
        <v>8</v>
      </c>
      <c r="T20" s="4">
        <f t="shared" si="3"/>
        <v>0.34830053667262967</v>
      </c>
      <c r="U20" s="2" t="s">
        <v>3</v>
      </c>
      <c r="V20" s="2" t="s">
        <v>9</v>
      </c>
      <c r="W20" s="12">
        <f t="shared" si="4"/>
        <v>7.2</v>
      </c>
      <c r="X20" s="2" t="s">
        <v>4</v>
      </c>
      <c r="Y20" s="2" t="s">
        <v>8</v>
      </c>
      <c r="Z20" s="4">
        <f t="shared" si="5"/>
        <v>1.1043106115293388</v>
      </c>
      <c r="AA20" s="2" t="s">
        <v>3</v>
      </c>
      <c r="AB20" s="2" t="s">
        <v>9</v>
      </c>
      <c r="AC20" s="12">
        <f t="shared" si="6"/>
        <v>7.2</v>
      </c>
      <c r="AD20" s="2" t="s">
        <v>4</v>
      </c>
    </row>
    <row r="21" spans="1:30" x14ac:dyDescent="0.25">
      <c r="C21" s="9">
        <v>124</v>
      </c>
      <c r="D21" s="10">
        <f t="shared" si="0"/>
        <v>0.36405693950177936</v>
      </c>
      <c r="E21" s="9">
        <f t="shared" si="1"/>
        <v>119.37424789410349</v>
      </c>
      <c r="F21" s="11">
        <f t="shared" si="2"/>
        <v>1.1314096119042831</v>
      </c>
      <c r="G21" s="9">
        <v>7.6</v>
      </c>
      <c r="R21" s="2"/>
      <c r="S21" s="2" t="s">
        <v>8</v>
      </c>
      <c r="T21" s="4">
        <f t="shared" si="3"/>
        <v>0.36405693950177936</v>
      </c>
      <c r="U21" s="2" t="s">
        <v>3</v>
      </c>
      <c r="V21" s="2" t="s">
        <v>9</v>
      </c>
      <c r="W21" s="12">
        <f t="shared" si="4"/>
        <v>7.6</v>
      </c>
      <c r="X21" s="2" t="s">
        <v>4</v>
      </c>
      <c r="Y21" s="2" t="s">
        <v>8</v>
      </c>
      <c r="Z21" s="4">
        <f t="shared" si="5"/>
        <v>1.1314096119042831</v>
      </c>
      <c r="AA21" s="2" t="s">
        <v>3</v>
      </c>
      <c r="AB21" s="2" t="s">
        <v>9</v>
      </c>
      <c r="AC21" s="12">
        <f t="shared" si="6"/>
        <v>7.6</v>
      </c>
      <c r="AD21" s="2" t="s">
        <v>4</v>
      </c>
    </row>
    <row r="22" spans="1:30" x14ac:dyDescent="0.25">
      <c r="C22" s="9">
        <v>130</v>
      </c>
      <c r="D22" s="10">
        <f t="shared" si="0"/>
        <v>0.37964601769911505</v>
      </c>
      <c r="E22" s="9">
        <f t="shared" si="1"/>
        <v>124.92492492492492</v>
      </c>
      <c r="F22" s="11">
        <f t="shared" si="2"/>
        <v>1.1571848945561549</v>
      </c>
      <c r="G22" s="9">
        <v>8</v>
      </c>
      <c r="R22" s="2"/>
      <c r="S22" s="2" t="s">
        <v>8</v>
      </c>
      <c r="T22" s="4">
        <f t="shared" si="3"/>
        <v>0.37964601769911505</v>
      </c>
      <c r="U22" s="2" t="s">
        <v>3</v>
      </c>
      <c r="V22" s="2" t="s">
        <v>9</v>
      </c>
      <c r="W22" s="12">
        <f t="shared" si="4"/>
        <v>8</v>
      </c>
      <c r="X22" s="2" t="s">
        <v>4</v>
      </c>
      <c r="Y22" s="2" t="s">
        <v>8</v>
      </c>
      <c r="Z22" s="4">
        <f t="shared" si="5"/>
        <v>1.1571848945561549</v>
      </c>
      <c r="AA22" s="2" t="s">
        <v>3</v>
      </c>
      <c r="AB22" s="2" t="s">
        <v>9</v>
      </c>
      <c r="AC22" s="12">
        <f t="shared" si="6"/>
        <v>8</v>
      </c>
      <c r="AD22" s="2" t="s">
        <v>4</v>
      </c>
    </row>
    <row r="23" spans="1:30" x14ac:dyDescent="0.25">
      <c r="C23" s="9">
        <v>136</v>
      </c>
      <c r="D23" s="10">
        <f t="shared" si="0"/>
        <v>0.39507042253521124</v>
      </c>
      <c r="E23" s="9">
        <f t="shared" si="1"/>
        <v>130.45563549160673</v>
      </c>
      <c r="F23" s="11">
        <f t="shared" si="2"/>
        <v>1.1817311374952124</v>
      </c>
      <c r="G23" s="9">
        <v>8.4</v>
      </c>
      <c r="R23" s="2"/>
      <c r="S23" s="2" t="s">
        <v>8</v>
      </c>
      <c r="T23" s="4">
        <f t="shared" si="3"/>
        <v>0.39507042253521124</v>
      </c>
      <c r="U23" s="2" t="s">
        <v>3</v>
      </c>
      <c r="V23" s="2" t="s">
        <v>9</v>
      </c>
      <c r="W23" s="12">
        <f t="shared" si="4"/>
        <v>8.4</v>
      </c>
      <c r="X23" s="2" t="s">
        <v>4</v>
      </c>
      <c r="Y23" s="2" t="s">
        <v>8</v>
      </c>
      <c r="Z23" s="4">
        <f t="shared" si="5"/>
        <v>1.1817311374952124</v>
      </c>
      <c r="AA23" s="2" t="s">
        <v>3</v>
      </c>
      <c r="AB23" s="2" t="s">
        <v>9</v>
      </c>
      <c r="AC23" s="12">
        <f t="shared" si="6"/>
        <v>8.4</v>
      </c>
      <c r="AD23" s="2" t="s">
        <v>4</v>
      </c>
    </row>
    <row r="24" spans="1:30" x14ac:dyDescent="0.25">
      <c r="C24" s="9">
        <v>142</v>
      </c>
      <c r="D24" s="10">
        <f t="shared" si="0"/>
        <v>0.41033274956217158</v>
      </c>
      <c r="E24" s="9">
        <f t="shared" si="1"/>
        <v>135.96648713345303</v>
      </c>
      <c r="F24" s="11">
        <f t="shared" si="2"/>
        <v>1.2051341999438885</v>
      </c>
      <c r="G24" s="9">
        <v>8.8000000000000007</v>
      </c>
      <c r="R24" s="2"/>
      <c r="S24" s="2" t="s">
        <v>8</v>
      </c>
      <c r="T24" s="4">
        <f t="shared" si="3"/>
        <v>0.41033274956217158</v>
      </c>
      <c r="U24" s="2" t="s">
        <v>3</v>
      </c>
      <c r="V24" s="2" t="s">
        <v>9</v>
      </c>
      <c r="W24" s="12">
        <f t="shared" si="4"/>
        <v>8.8000000000000007</v>
      </c>
      <c r="X24" s="2" t="s">
        <v>4</v>
      </c>
      <c r="Y24" s="2" t="s">
        <v>8</v>
      </c>
      <c r="Z24" s="4">
        <f t="shared" si="5"/>
        <v>1.2051341999438885</v>
      </c>
      <c r="AA24" s="2" t="s">
        <v>3</v>
      </c>
      <c r="AB24" s="2" t="s">
        <v>9</v>
      </c>
      <c r="AC24" s="12">
        <f t="shared" si="6"/>
        <v>8.8000000000000007</v>
      </c>
      <c r="AD24" s="2" t="s">
        <v>4</v>
      </c>
    </row>
    <row r="25" spans="1:30" x14ac:dyDescent="0.25">
      <c r="C25" s="9">
        <v>148</v>
      </c>
      <c r="D25" s="10">
        <f t="shared" si="0"/>
        <v>0.42543554006968637</v>
      </c>
      <c r="E25" s="9">
        <f t="shared" si="1"/>
        <v>141.45758661887695</v>
      </c>
      <c r="F25" s="11">
        <f t="shared" si="2"/>
        <v>1.2274721257539756</v>
      </c>
      <c r="G25" s="9">
        <v>9.1999999999999993</v>
      </c>
      <c r="R25" s="2"/>
      <c r="S25" s="2" t="s">
        <v>8</v>
      </c>
      <c r="T25" s="4">
        <f t="shared" si="3"/>
        <v>0.42543554006968637</v>
      </c>
      <c r="U25" s="2" t="s">
        <v>3</v>
      </c>
      <c r="V25" s="2" t="s">
        <v>9</v>
      </c>
      <c r="W25" s="12">
        <f t="shared" si="4"/>
        <v>9.1999999999999993</v>
      </c>
      <c r="X25" s="2" t="s">
        <v>4</v>
      </c>
      <c r="Y25" s="2" t="s">
        <v>8</v>
      </c>
      <c r="Z25" s="4">
        <f t="shared" si="5"/>
        <v>1.2274721257539756</v>
      </c>
      <c r="AA25" s="2" t="s">
        <v>3</v>
      </c>
      <c r="AB25" s="2" t="s">
        <v>9</v>
      </c>
      <c r="AC25" s="12">
        <f t="shared" si="6"/>
        <v>9.1999999999999993</v>
      </c>
      <c r="AD25" s="2" t="s">
        <v>4</v>
      </c>
    </row>
    <row r="26" spans="1:30" x14ac:dyDescent="0.25">
      <c r="C26" s="9">
        <v>154</v>
      </c>
      <c r="D26" s="10">
        <f t="shared" si="0"/>
        <v>0.44038128249566721</v>
      </c>
      <c r="E26" s="9">
        <f t="shared" si="1"/>
        <v>146.92903995229577</v>
      </c>
      <c r="F26" s="11">
        <f t="shared" si="2"/>
        <v>1.248816012867483</v>
      </c>
      <c r="G26" s="9">
        <v>9.6</v>
      </c>
      <c r="R26" s="2"/>
      <c r="S26" s="2" t="s">
        <v>8</v>
      </c>
      <c r="T26" s="4">
        <f t="shared" si="3"/>
        <v>0.44038128249566721</v>
      </c>
      <c r="U26" s="2" t="s">
        <v>3</v>
      </c>
      <c r="V26" s="2" t="s">
        <v>9</v>
      </c>
      <c r="W26" s="12">
        <f>G26</f>
        <v>9.6</v>
      </c>
      <c r="X26" s="2" t="s">
        <v>4</v>
      </c>
      <c r="Y26" s="2" t="s">
        <v>8</v>
      </c>
      <c r="Z26" s="4">
        <f t="shared" si="5"/>
        <v>1.248816012867483</v>
      </c>
      <c r="AA26" s="2" t="s">
        <v>3</v>
      </c>
      <c r="AB26" s="2" t="s">
        <v>9</v>
      </c>
      <c r="AC26" s="12">
        <f t="shared" si="6"/>
        <v>9.6</v>
      </c>
      <c r="AD26" s="2" t="s">
        <v>4</v>
      </c>
    </row>
    <row r="27" spans="1:30" x14ac:dyDescent="0.25">
      <c r="C27" s="9">
        <v>160</v>
      </c>
      <c r="D27" s="10">
        <f t="shared" si="0"/>
        <v>0.45517241379310347</v>
      </c>
      <c r="E27" s="9">
        <f t="shared" si="1"/>
        <v>152.38095238095238</v>
      </c>
      <c r="F27" s="11">
        <f t="shared" si="2"/>
        <v>1.2692307692307692</v>
      </c>
      <c r="G27" s="9">
        <v>10</v>
      </c>
      <c r="R27" s="2"/>
      <c r="S27" s="2" t="s">
        <v>8</v>
      </c>
      <c r="T27" s="4">
        <f t="shared" si="3"/>
        <v>0.45517241379310347</v>
      </c>
      <c r="U27" s="2" t="s">
        <v>3</v>
      </c>
      <c r="V27" s="2" t="s">
        <v>9</v>
      </c>
      <c r="W27" s="12">
        <f>G27</f>
        <v>10</v>
      </c>
      <c r="X27" s="2" t="s">
        <v>5</v>
      </c>
      <c r="Y27" s="2" t="s">
        <v>8</v>
      </c>
      <c r="Z27" s="4">
        <f t="shared" si="5"/>
        <v>1.2692307692307692</v>
      </c>
      <c r="AA27" s="2" t="s">
        <v>3</v>
      </c>
      <c r="AB27" s="2" t="s">
        <v>9</v>
      </c>
      <c r="AC27" s="12">
        <f t="shared" si="6"/>
        <v>10</v>
      </c>
      <c r="AD27" s="2" t="s">
        <v>5</v>
      </c>
    </row>
    <row r="28" spans="1:30" x14ac:dyDescent="0.25">
      <c r="R28" s="2"/>
      <c r="S28" s="2" t="s">
        <v>7</v>
      </c>
      <c r="T28" s="4"/>
      <c r="U28" s="2"/>
      <c r="V28" s="2"/>
      <c r="W28" s="12"/>
      <c r="X28" s="2"/>
      <c r="Y28" s="2" t="s">
        <v>7</v>
      </c>
      <c r="Z28" s="4"/>
      <c r="AA28" s="2"/>
      <c r="AB28" s="2"/>
      <c r="AC28" s="12"/>
      <c r="AD28" s="2"/>
    </row>
    <row r="32" spans="1:30" x14ac:dyDescent="0.25">
      <c r="A32" t="s">
        <v>18</v>
      </c>
    </row>
    <row r="33" spans="1:1" x14ac:dyDescent="0.25">
      <c r="A33" s="6" t="s">
        <v>27</v>
      </c>
    </row>
    <row r="54" spans="20:27" x14ac:dyDescent="0.25">
      <c r="T54"/>
      <c r="U54">
        <v>71.900000000000006</v>
      </c>
      <c r="Z54"/>
      <c r="AA54">
        <v>71.900000000000006</v>
      </c>
    </row>
  </sheetData>
  <hyperlinks>
    <hyperlink ref="A33" r:id="rId1" xr:uid="{12CAAA14-9E6E-407B-8899-5A60D2B6B020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1E45-E85C-4EE8-A288-6CA01A4E41AE}">
  <dimension ref="A1:D71"/>
  <sheetViews>
    <sheetView zoomScaleNormal="100" workbookViewId="0">
      <selection activeCell="C5" sqref="C5"/>
    </sheetView>
  </sheetViews>
  <sheetFormatPr defaultRowHeight="15" x14ac:dyDescent="0.25"/>
  <cols>
    <col min="1" max="2" width="9.140625" style="19"/>
    <col min="3" max="4" width="9.140625" style="14"/>
  </cols>
  <sheetData>
    <row r="1" spans="1:2" x14ac:dyDescent="0.25">
      <c r="A1" s="23" t="s">
        <v>29</v>
      </c>
      <c r="B1" s="20">
        <v>25</v>
      </c>
    </row>
    <row r="2" spans="1:2" x14ac:dyDescent="0.25">
      <c r="A2" s="24" t="s">
        <v>30</v>
      </c>
      <c r="B2" s="21">
        <v>990.2</v>
      </c>
    </row>
    <row r="3" spans="1:2" x14ac:dyDescent="0.25">
      <c r="A3" s="24" t="s">
        <v>31</v>
      </c>
      <c r="B3" s="21">
        <v>3930</v>
      </c>
    </row>
    <row r="4" spans="1:2" x14ac:dyDescent="0.25">
      <c r="A4" s="24" t="s">
        <v>32</v>
      </c>
      <c r="B4" s="21">
        <v>1000</v>
      </c>
    </row>
    <row r="5" spans="1:2" ht="15.75" thickBot="1" x14ac:dyDescent="0.3">
      <c r="A5" s="25" t="s">
        <v>33</v>
      </c>
      <c r="B5" s="22">
        <v>3.3</v>
      </c>
    </row>
    <row r="6" spans="1:2" x14ac:dyDescent="0.25">
      <c r="A6" s="26" t="s">
        <v>33</v>
      </c>
      <c r="B6" s="27" t="s">
        <v>28</v>
      </c>
    </row>
    <row r="7" spans="1:2" x14ac:dyDescent="0.25">
      <c r="A7" s="15">
        <v>0.05</v>
      </c>
      <c r="B7" s="16">
        <f t="shared" ref="B7:B38" si="0">1/(1/$B$3 * LN((($B$4*A7)/($B$5-A7))/$B$2)+1/($B$1+273.15)) - 273.15</f>
        <v>162.70570122617875</v>
      </c>
    </row>
    <row r="8" spans="1:2" x14ac:dyDescent="0.25">
      <c r="A8" s="15">
        <v>0.1</v>
      </c>
      <c r="B8" s="16">
        <f t="shared" si="0"/>
        <v>130.94661336106805</v>
      </c>
    </row>
    <row r="9" spans="1:2" x14ac:dyDescent="0.25">
      <c r="A9" s="15">
        <v>0.15</v>
      </c>
      <c r="B9" s="16">
        <f t="shared" si="0"/>
        <v>114.17146120914816</v>
      </c>
    </row>
    <row r="10" spans="1:2" x14ac:dyDescent="0.25">
      <c r="A10" s="15">
        <v>0.2</v>
      </c>
      <c r="B10" s="16">
        <f t="shared" si="0"/>
        <v>102.91601436410565</v>
      </c>
    </row>
    <row r="11" spans="1:2" x14ac:dyDescent="0.25">
      <c r="A11" s="15">
        <v>0.25</v>
      </c>
      <c r="B11" s="16">
        <f t="shared" si="0"/>
        <v>94.493723678017204</v>
      </c>
    </row>
    <row r="12" spans="1:2" x14ac:dyDescent="0.25">
      <c r="A12" s="15">
        <v>0.3</v>
      </c>
      <c r="B12" s="16">
        <f t="shared" si="0"/>
        <v>87.77967224545398</v>
      </c>
    </row>
    <row r="13" spans="1:2" x14ac:dyDescent="0.25">
      <c r="A13" s="15">
        <v>0.35</v>
      </c>
      <c r="B13" s="16">
        <f t="shared" si="0"/>
        <v>82.200422673284493</v>
      </c>
    </row>
    <row r="14" spans="1:2" x14ac:dyDescent="0.25">
      <c r="A14" s="15">
        <v>0.4</v>
      </c>
      <c r="B14" s="16">
        <f t="shared" si="0"/>
        <v>77.425728358465676</v>
      </c>
    </row>
    <row r="15" spans="1:2" x14ac:dyDescent="0.25">
      <c r="A15" s="15">
        <v>0.45</v>
      </c>
      <c r="B15" s="16">
        <f t="shared" si="0"/>
        <v>73.248759010494325</v>
      </c>
    </row>
    <row r="16" spans="1:2" x14ac:dyDescent="0.25">
      <c r="A16" s="15">
        <v>0.5</v>
      </c>
      <c r="B16" s="16">
        <f t="shared" si="0"/>
        <v>69.531763738385052</v>
      </c>
    </row>
    <row r="17" spans="1:2" x14ac:dyDescent="0.25">
      <c r="A17" s="15">
        <v>0.55000000000000004</v>
      </c>
      <c r="B17" s="16">
        <f t="shared" si="0"/>
        <v>66.178569432784514</v>
      </c>
    </row>
    <row r="18" spans="1:2" x14ac:dyDescent="0.25">
      <c r="A18" s="15">
        <v>0.6</v>
      </c>
      <c r="B18" s="16">
        <f t="shared" si="0"/>
        <v>63.119472728013761</v>
      </c>
    </row>
    <row r="19" spans="1:2" x14ac:dyDescent="0.25">
      <c r="A19" s="15">
        <v>0.65</v>
      </c>
      <c r="B19" s="16">
        <f t="shared" si="0"/>
        <v>60.302392856418692</v>
      </c>
    </row>
    <row r="20" spans="1:2" x14ac:dyDescent="0.25">
      <c r="A20" s="15">
        <v>0.7</v>
      </c>
      <c r="B20" s="16">
        <f t="shared" si="0"/>
        <v>57.687417972539663</v>
      </c>
    </row>
    <row r="21" spans="1:2" x14ac:dyDescent="0.25">
      <c r="A21" s="15">
        <v>0.75</v>
      </c>
      <c r="B21" s="16">
        <f t="shared" si="0"/>
        <v>55.243298385908872</v>
      </c>
    </row>
    <row r="22" spans="1:2" x14ac:dyDescent="0.25">
      <c r="A22" s="15">
        <v>0.8</v>
      </c>
      <c r="B22" s="16">
        <f t="shared" si="0"/>
        <v>52.945110491530329</v>
      </c>
    </row>
    <row r="23" spans="1:2" x14ac:dyDescent="0.25">
      <c r="A23" s="15">
        <v>0.85</v>
      </c>
      <c r="B23" s="16">
        <f t="shared" si="0"/>
        <v>50.772653009122678</v>
      </c>
    </row>
    <row r="24" spans="1:2" x14ac:dyDescent="0.25">
      <c r="A24" s="15">
        <v>0.9</v>
      </c>
      <c r="B24" s="16">
        <f t="shared" si="0"/>
        <v>48.709316998419069</v>
      </c>
    </row>
    <row r="25" spans="1:2" x14ac:dyDescent="0.25">
      <c r="A25" s="15">
        <v>0.95</v>
      </c>
      <c r="B25" s="16">
        <f t="shared" si="0"/>
        <v>46.741271433122506</v>
      </c>
    </row>
    <row r="26" spans="1:2" x14ac:dyDescent="0.25">
      <c r="A26" s="15">
        <v>1</v>
      </c>
      <c r="B26" s="16">
        <f t="shared" si="0"/>
        <v>44.856864348117483</v>
      </c>
    </row>
    <row r="27" spans="1:2" x14ac:dyDescent="0.25">
      <c r="A27" s="15">
        <v>1.05</v>
      </c>
      <c r="B27" s="16">
        <f t="shared" si="0"/>
        <v>43.046174571623965</v>
      </c>
    </row>
    <row r="28" spans="1:2" x14ac:dyDescent="0.25">
      <c r="A28" s="15">
        <v>1.1000000000000001</v>
      </c>
      <c r="B28" s="16">
        <f t="shared" si="0"/>
        <v>41.300670737318001</v>
      </c>
    </row>
    <row r="29" spans="1:2" x14ac:dyDescent="0.25">
      <c r="A29" s="15">
        <v>1.1499999999999999</v>
      </c>
      <c r="B29" s="16">
        <f t="shared" si="0"/>
        <v>39.612948072577126</v>
      </c>
    </row>
    <row r="30" spans="1:2" x14ac:dyDescent="0.25">
      <c r="A30" s="15">
        <v>1.2</v>
      </c>
      <c r="B30" s="16">
        <f t="shared" si="0"/>
        <v>37.976522456330883</v>
      </c>
    </row>
    <row r="31" spans="1:2" x14ac:dyDescent="0.25">
      <c r="A31" s="15">
        <v>1.25</v>
      </c>
      <c r="B31" s="16">
        <f t="shared" si="0"/>
        <v>36.385667232743458</v>
      </c>
    </row>
    <row r="32" spans="1:2" x14ac:dyDescent="0.25">
      <c r="A32" s="15">
        <v>1.3</v>
      </c>
      <c r="B32" s="16">
        <f t="shared" si="0"/>
        <v>34.835282336065518</v>
      </c>
    </row>
    <row r="33" spans="1:2" x14ac:dyDescent="0.25">
      <c r="A33" s="15">
        <v>1.35</v>
      </c>
      <c r="B33" s="16">
        <f t="shared" si="0"/>
        <v>33.320788093115539</v>
      </c>
    </row>
    <row r="34" spans="1:2" x14ac:dyDescent="0.25">
      <c r="A34" s="15">
        <v>1.4</v>
      </c>
      <c r="B34" s="16">
        <f t="shared" si="0"/>
        <v>31.838038042164669</v>
      </c>
    </row>
    <row r="35" spans="1:2" x14ac:dyDescent="0.25">
      <c r="A35" s="15">
        <v>1.45</v>
      </c>
      <c r="B35" s="16">
        <f t="shared" si="0"/>
        <v>30.383246509841058</v>
      </c>
    </row>
    <row r="36" spans="1:2" x14ac:dyDescent="0.25">
      <c r="A36" s="15">
        <v>1.5</v>
      </c>
      <c r="B36" s="16">
        <f t="shared" si="0"/>
        <v>28.952927697270297</v>
      </c>
    </row>
    <row r="37" spans="1:2" x14ac:dyDescent="0.25">
      <c r="A37" s="15">
        <v>1.55</v>
      </c>
      <c r="B37" s="16">
        <f t="shared" si="0"/>
        <v>27.543843760225059</v>
      </c>
    </row>
    <row r="38" spans="1:2" x14ac:dyDescent="0.25">
      <c r="A38" s="15">
        <v>1.6</v>
      </c>
      <c r="B38" s="16">
        <f t="shared" si="0"/>
        <v>26.152959904599129</v>
      </c>
    </row>
    <row r="39" spans="1:2" x14ac:dyDescent="0.25">
      <c r="A39" s="15">
        <v>1.65</v>
      </c>
      <c r="B39" s="16">
        <f t="shared" ref="B39:B70" si="1">1/(1/$B$3 * LN((($B$4*A39)/($B$5-A39))/$B$2)+1/($B$1+273.15)) - 273.15</f>
        <v>24.777404911952431</v>
      </c>
    </row>
    <row r="40" spans="1:2" x14ac:dyDescent="0.25">
      <c r="A40" s="15">
        <v>1.7</v>
      </c>
      <c r="B40" s="16">
        <f t="shared" si="1"/>
        <v>23.414435797205442</v>
      </c>
    </row>
    <row r="41" spans="1:2" x14ac:dyDescent="0.25">
      <c r="A41" s="15">
        <v>1.75</v>
      </c>
      <c r="B41" s="16">
        <f t="shared" si="1"/>
        <v>22.061405507256666</v>
      </c>
    </row>
    <row r="42" spans="1:2" x14ac:dyDescent="0.25">
      <c r="A42" s="15">
        <v>1.8</v>
      </c>
      <c r="B42" s="16">
        <f t="shared" si="1"/>
        <v>20.715732712617523</v>
      </c>
    </row>
    <row r="43" spans="1:2" x14ac:dyDescent="0.25">
      <c r="A43" s="15">
        <v>1.85</v>
      </c>
      <c r="B43" s="16">
        <f t="shared" si="1"/>
        <v>19.374872835437941</v>
      </c>
    </row>
    <row r="44" spans="1:2" x14ac:dyDescent="0.25">
      <c r="A44" s="15">
        <v>1.9</v>
      </c>
      <c r="B44" s="16">
        <f t="shared" si="1"/>
        <v>18.036289503204216</v>
      </c>
    </row>
    <row r="45" spans="1:2" x14ac:dyDescent="0.25">
      <c r="A45" s="15">
        <v>1.95</v>
      </c>
      <c r="B45" s="16">
        <f t="shared" si="1"/>
        <v>16.69742562074714</v>
      </c>
    </row>
    <row r="46" spans="1:2" x14ac:dyDescent="0.25">
      <c r="A46" s="15">
        <v>2</v>
      </c>
      <c r="B46" s="16">
        <f t="shared" si="1"/>
        <v>15.355673213185241</v>
      </c>
    </row>
    <row r="47" spans="1:2" x14ac:dyDescent="0.25">
      <c r="A47" s="15">
        <v>2.0499999999999998</v>
      </c>
      <c r="B47" s="16">
        <f t="shared" si="1"/>
        <v>14.008341104398937</v>
      </c>
    </row>
    <row r="48" spans="1:2" x14ac:dyDescent="0.25">
      <c r="A48" s="15">
        <v>2.1</v>
      </c>
      <c r="B48" s="16">
        <f t="shared" si="1"/>
        <v>12.652619350391774</v>
      </c>
    </row>
    <row r="49" spans="1:2" x14ac:dyDescent="0.25">
      <c r="A49" s="15">
        <v>2.15</v>
      </c>
      <c r="B49" s="16">
        <f t="shared" si="1"/>
        <v>11.285539129341487</v>
      </c>
    </row>
    <row r="50" spans="1:2" x14ac:dyDescent="0.25">
      <c r="A50" s="15">
        <v>2.2000000000000002</v>
      </c>
      <c r="B50" s="16">
        <f t="shared" si="1"/>
        <v>9.9039264769240276</v>
      </c>
    </row>
    <row r="51" spans="1:2" x14ac:dyDescent="0.25">
      <c r="A51" s="15">
        <v>2.25</v>
      </c>
      <c r="B51" s="16">
        <f t="shared" si="1"/>
        <v>8.5043478113066726</v>
      </c>
    </row>
    <row r="52" spans="1:2" x14ac:dyDescent="0.25">
      <c r="A52" s="15">
        <v>2.2999999999999998</v>
      </c>
      <c r="B52" s="16">
        <f t="shared" si="1"/>
        <v>7.0830445637105299</v>
      </c>
    </row>
    <row r="53" spans="1:2" x14ac:dyDescent="0.25">
      <c r="A53" s="15">
        <v>2.35</v>
      </c>
      <c r="B53" s="16">
        <f t="shared" si="1"/>
        <v>5.6358533365022367</v>
      </c>
    </row>
    <row r="54" spans="1:2" x14ac:dyDescent="0.25">
      <c r="A54" s="15">
        <v>2.4</v>
      </c>
      <c r="B54" s="16">
        <f t="shared" si="1"/>
        <v>4.1581067262493434</v>
      </c>
    </row>
    <row r="55" spans="1:2" x14ac:dyDescent="0.25">
      <c r="A55" s="15">
        <v>2.4500000000000002</v>
      </c>
      <c r="B55" s="16">
        <f t="shared" si="1"/>
        <v>2.6445080777326098</v>
      </c>
    </row>
    <row r="56" spans="1:2" x14ac:dyDescent="0.25">
      <c r="A56" s="15">
        <v>2.5</v>
      </c>
      <c r="B56" s="16">
        <f t="shared" si="1"/>
        <v>1.088970662157692</v>
      </c>
    </row>
    <row r="57" spans="1:2" x14ac:dyDescent="0.25">
      <c r="A57" s="15">
        <v>2.5499999999999998</v>
      </c>
      <c r="B57" s="16">
        <f t="shared" si="1"/>
        <v>-0.51559241654928201</v>
      </c>
    </row>
    <row r="58" spans="1:2" x14ac:dyDescent="0.25">
      <c r="A58" s="15">
        <v>2.6</v>
      </c>
      <c r="B58" s="16">
        <f t="shared" si="1"/>
        <v>-2.1775477564728476</v>
      </c>
    </row>
    <row r="59" spans="1:2" x14ac:dyDescent="0.25">
      <c r="A59" s="15">
        <v>2.65</v>
      </c>
      <c r="B59" s="16">
        <f t="shared" si="1"/>
        <v>-3.9069210617709587</v>
      </c>
    </row>
    <row r="60" spans="1:2" x14ac:dyDescent="0.25">
      <c r="A60" s="15">
        <v>2.7</v>
      </c>
      <c r="B60" s="16">
        <f t="shared" si="1"/>
        <v>-5.7159235818964476</v>
      </c>
    </row>
    <row r="61" spans="1:2" x14ac:dyDescent="0.25">
      <c r="A61" s="15">
        <v>2.75</v>
      </c>
      <c r="B61" s="16">
        <f t="shared" si="1"/>
        <v>-7.6197009771478861</v>
      </c>
    </row>
    <row r="62" spans="1:2" x14ac:dyDescent="0.25">
      <c r="A62" s="15">
        <v>2.8</v>
      </c>
      <c r="B62" s="16">
        <f t="shared" si="1"/>
        <v>-9.6374294493601838</v>
      </c>
    </row>
    <row r="63" spans="1:2" x14ac:dyDescent="0.25">
      <c r="A63" s="15">
        <v>2.85</v>
      </c>
      <c r="B63" s="16">
        <f t="shared" si="1"/>
        <v>-11.793974535950554</v>
      </c>
    </row>
    <row r="64" spans="1:2" x14ac:dyDescent="0.25">
      <c r="A64" s="15">
        <v>2.9</v>
      </c>
      <c r="B64" s="16">
        <f t="shared" si="1"/>
        <v>-14.122502737830132</v>
      </c>
    </row>
    <row r="65" spans="1:2" x14ac:dyDescent="0.25">
      <c r="A65" s="15">
        <v>2.95</v>
      </c>
      <c r="B65" s="16">
        <f t="shared" si="1"/>
        <v>-16.668795322814162</v>
      </c>
    </row>
    <row r="66" spans="1:2" x14ac:dyDescent="0.25">
      <c r="A66" s="15">
        <v>3</v>
      </c>
      <c r="B66" s="16">
        <f t="shared" si="1"/>
        <v>-19.498810814754705</v>
      </c>
    </row>
    <row r="67" spans="1:2" x14ac:dyDescent="0.25">
      <c r="A67" s="15">
        <v>3.05</v>
      </c>
      <c r="B67" s="16">
        <f t="shared" si="1"/>
        <v>-22.712991819120049</v>
      </c>
    </row>
    <row r="68" spans="1:2" x14ac:dyDescent="0.25">
      <c r="A68" s="15">
        <v>3.1</v>
      </c>
      <c r="B68" s="16">
        <f t="shared" si="1"/>
        <v>-26.476219372872094</v>
      </c>
    </row>
    <row r="69" spans="1:2" x14ac:dyDescent="0.25">
      <c r="A69" s="15">
        <v>3.15</v>
      </c>
      <c r="B69" s="16">
        <f t="shared" si="1"/>
        <v>-31.090168576091429</v>
      </c>
    </row>
    <row r="70" spans="1:2" x14ac:dyDescent="0.25">
      <c r="A70" s="15">
        <v>3.2</v>
      </c>
      <c r="B70" s="16">
        <f t="shared" si="1"/>
        <v>-37.211298628077486</v>
      </c>
    </row>
    <row r="71" spans="1:2" ht="15.75" thickBot="1" x14ac:dyDescent="0.3">
      <c r="A71" s="17">
        <v>3.25</v>
      </c>
      <c r="B71" s="18">
        <f t="shared" ref="B71" si="2">1/(1/$B$3 * LN((($B$4*A71)/($B$5-A71))/$B$2)+1/($B$1+273.15)) - 273.15</f>
        <v>-46.839474542638158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40C7-1308-4ADA-AD9B-7D7D84E0AB57}">
  <dimension ref="A1:AD24"/>
  <sheetViews>
    <sheetView zoomScaleNormal="100" workbookViewId="0">
      <selection activeCell="I45" sqref="A1:XFD1048576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3" max="13" width="9.14062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5.5703125" style="13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5.5703125" style="13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12"/>
      <c r="X1" s="2"/>
      <c r="Y1" s="2" t="s">
        <v>17</v>
      </c>
      <c r="Z1" s="4"/>
      <c r="AA1" s="2"/>
      <c r="AB1" s="2"/>
      <c r="AC1" s="12"/>
      <c r="AD1" s="2"/>
    </row>
    <row r="2" spans="1:30" x14ac:dyDescent="0.25">
      <c r="A2">
        <v>1000</v>
      </c>
      <c r="B2">
        <v>3.3</v>
      </c>
      <c r="C2" s="9">
        <v>6299</v>
      </c>
      <c r="D2" s="10">
        <f>($B$2*C2)/($A$2+C2)</f>
        <v>2.8478832716810518</v>
      </c>
      <c r="E2" s="9">
        <f>C2*($A$6+$A$7)/(C2+$A$6+$A$7)</f>
        <v>2121.9917886093272</v>
      </c>
      <c r="F2" s="11">
        <f>(($B$2*E2)/($B$6+E2))*$A$6/($A$6+$A$7)</f>
        <v>1.5420504589321482</v>
      </c>
      <c r="G2" s="10">
        <v>37.777777777777779</v>
      </c>
      <c r="R2" s="2"/>
      <c r="S2" s="2" t="s">
        <v>8</v>
      </c>
      <c r="T2" s="4">
        <f>D2</f>
        <v>2.8478832716810518</v>
      </c>
      <c r="U2" s="2" t="s">
        <v>3</v>
      </c>
      <c r="V2" s="2" t="s">
        <v>9</v>
      </c>
      <c r="W2" s="12">
        <f>G2</f>
        <v>37.777777777777779</v>
      </c>
      <c r="X2" s="2" t="s">
        <v>4</v>
      </c>
      <c r="Y2" s="2" t="s">
        <v>8</v>
      </c>
      <c r="Z2" s="4">
        <f>F2</f>
        <v>1.5420504589321482</v>
      </c>
      <c r="AA2" s="2" t="s">
        <v>3</v>
      </c>
      <c r="AB2" s="2" t="s">
        <v>9</v>
      </c>
      <c r="AC2" s="12">
        <f>G2</f>
        <v>37.777777777777779</v>
      </c>
      <c r="AD2" s="2" t="s">
        <v>4</v>
      </c>
    </row>
    <row r="3" spans="1:30" x14ac:dyDescent="0.25">
      <c r="C3" s="9">
        <v>4316</v>
      </c>
      <c r="D3" s="10">
        <f t="shared" ref="D3:D11" si="0">($B$2*C3)/($A$2+C3)</f>
        <v>2.6792325056433408</v>
      </c>
      <c r="E3" s="9">
        <f t="shared" ref="E3:E12" si="1">C3*($A$6+$A$7)/(C3+$A$6+$A$7)</f>
        <v>1837.5731772219265</v>
      </c>
      <c r="F3" s="11">
        <f>(($B$2*E3)/($B$6+E3))*$A$6/($A$6+$A$7)</f>
        <v>1.4692111482051089</v>
      </c>
      <c r="G3" s="10">
        <v>48.888888888888886</v>
      </c>
      <c r="R3" s="2"/>
      <c r="S3" s="2" t="s">
        <v>8</v>
      </c>
      <c r="T3" s="4">
        <f t="shared" ref="T3:T12" si="2">D3</f>
        <v>2.6792325056433408</v>
      </c>
      <c r="U3" s="2" t="s">
        <v>3</v>
      </c>
      <c r="V3" s="2" t="s">
        <v>9</v>
      </c>
      <c r="W3" s="12">
        <f t="shared" ref="W3:W12" si="3">G3</f>
        <v>48.888888888888886</v>
      </c>
      <c r="X3" s="2" t="s">
        <v>4</v>
      </c>
      <c r="Y3" s="2" t="s">
        <v>8</v>
      </c>
      <c r="Z3" s="4">
        <f t="shared" ref="Z3:Z12" si="4">F3</f>
        <v>1.4692111482051089</v>
      </c>
      <c r="AA3" s="2" t="s">
        <v>3</v>
      </c>
      <c r="AB3" s="2" t="s">
        <v>9</v>
      </c>
      <c r="AC3" s="12">
        <f t="shared" ref="AC3:AC12" si="5">G3</f>
        <v>48.888888888888886</v>
      </c>
      <c r="AD3" s="2" t="s">
        <v>4</v>
      </c>
    </row>
    <row r="4" spans="1:30" x14ac:dyDescent="0.25">
      <c r="A4" t="s">
        <v>13</v>
      </c>
      <c r="C4" s="9">
        <v>3020</v>
      </c>
      <c r="D4" s="10">
        <f t="shared" si="0"/>
        <v>2.4791044776119402</v>
      </c>
      <c r="E4" s="9">
        <f t="shared" si="1"/>
        <v>1553.6977491961416</v>
      </c>
      <c r="F4" s="11">
        <f>(($B$2*E4)/($B$6+E4))*$A$6/($A$6+$A$7)</f>
        <v>1.3803324099722991</v>
      </c>
      <c r="G4" s="10">
        <v>60</v>
      </c>
      <c r="R4" s="2"/>
      <c r="S4" s="2" t="s">
        <v>8</v>
      </c>
      <c r="T4" s="4">
        <f t="shared" si="2"/>
        <v>2.4791044776119402</v>
      </c>
      <c r="U4" s="2" t="s">
        <v>3</v>
      </c>
      <c r="V4" s="2" t="s">
        <v>9</v>
      </c>
      <c r="W4" s="12">
        <f t="shared" si="3"/>
        <v>60</v>
      </c>
      <c r="X4" s="2" t="s">
        <v>4</v>
      </c>
      <c r="Y4" s="2" t="s">
        <v>8</v>
      </c>
      <c r="Z4" s="4">
        <f t="shared" si="4"/>
        <v>1.3803324099722991</v>
      </c>
      <c r="AA4" s="2" t="s">
        <v>3</v>
      </c>
      <c r="AB4" s="2" t="s">
        <v>9</v>
      </c>
      <c r="AC4" s="12">
        <f t="shared" si="5"/>
        <v>60</v>
      </c>
      <c r="AD4" s="2" t="s">
        <v>4</v>
      </c>
    </row>
    <row r="5" spans="1:30" x14ac:dyDescent="0.25">
      <c r="A5" t="s">
        <v>11</v>
      </c>
      <c r="B5" t="s">
        <v>14</v>
      </c>
      <c r="C5" s="9">
        <v>2158</v>
      </c>
      <c r="D5" s="10">
        <f>($B$2*C5)/($A$2+C5)</f>
        <v>2.2550348321722606</v>
      </c>
      <c r="E5" s="9">
        <f t="shared" si="1"/>
        <v>1288.8391190742814</v>
      </c>
      <c r="F5" s="11">
        <f>(($B$2*E5)/($B$6+E5))*$A$6/($A$6+$A$7)</f>
        <v>1.2775269904432627</v>
      </c>
      <c r="G5" s="10">
        <v>71.111111111111114</v>
      </c>
      <c r="R5" s="2"/>
      <c r="S5" s="2" t="s">
        <v>8</v>
      </c>
      <c r="T5" s="4">
        <f t="shared" si="2"/>
        <v>2.2550348321722606</v>
      </c>
      <c r="U5" s="2" t="s">
        <v>3</v>
      </c>
      <c r="V5" s="2" t="s">
        <v>9</v>
      </c>
      <c r="W5" s="12">
        <f t="shared" si="3"/>
        <v>71.111111111111114</v>
      </c>
      <c r="X5" s="2" t="s">
        <v>4</v>
      </c>
      <c r="Y5" s="2" t="s">
        <v>8</v>
      </c>
      <c r="Z5" s="4">
        <f t="shared" si="4"/>
        <v>1.2775269904432627</v>
      </c>
      <c r="AA5" s="2" t="s">
        <v>3</v>
      </c>
      <c r="AB5" s="2" t="s">
        <v>9</v>
      </c>
      <c r="AC5" s="12">
        <f t="shared" si="5"/>
        <v>71.111111111111114</v>
      </c>
      <c r="AD5" s="2" t="s">
        <v>4</v>
      </c>
    </row>
    <row r="6" spans="1:30" x14ac:dyDescent="0.25">
      <c r="A6">
        <v>2200</v>
      </c>
      <c r="B6">
        <v>1000</v>
      </c>
      <c r="C6" s="9">
        <v>1569</v>
      </c>
      <c r="D6" s="10">
        <f>($B$2*C6)/($A$2+C6)</f>
        <v>2.0154534838458544</v>
      </c>
      <c r="E6" s="9">
        <f t="shared" si="1"/>
        <v>1052.7993289997903</v>
      </c>
      <c r="F6" s="11">
        <f t="shared" ref="F6:F11" si="6">(($B$2*E6)/($B$6+E6))*$A$6/($A$6+$A$7)</f>
        <v>1.1635518600992869</v>
      </c>
      <c r="G6" s="10">
        <v>82.222222222222229</v>
      </c>
      <c r="R6" s="2"/>
      <c r="S6" s="2" t="s">
        <v>8</v>
      </c>
      <c r="T6" s="4">
        <f t="shared" si="2"/>
        <v>2.0154534838458544</v>
      </c>
      <c r="U6" s="2" t="s">
        <v>3</v>
      </c>
      <c r="V6" s="2" t="s">
        <v>9</v>
      </c>
      <c r="W6" s="12">
        <f t="shared" si="3"/>
        <v>82.222222222222229</v>
      </c>
      <c r="X6" s="2" t="s">
        <v>4</v>
      </c>
      <c r="Y6" s="2" t="s">
        <v>8</v>
      </c>
      <c r="Z6" s="4">
        <f t="shared" si="4"/>
        <v>1.1635518600992869</v>
      </c>
      <c r="AA6" s="2" t="s">
        <v>3</v>
      </c>
      <c r="AB6" s="2" t="s">
        <v>9</v>
      </c>
      <c r="AC6" s="12">
        <f t="shared" si="5"/>
        <v>82.222222222222229</v>
      </c>
      <c r="AD6" s="2" t="s">
        <v>4</v>
      </c>
    </row>
    <row r="7" spans="1:30" x14ac:dyDescent="0.25">
      <c r="A7">
        <v>1000</v>
      </c>
      <c r="C7" s="9">
        <v>1160</v>
      </c>
      <c r="D7" s="10">
        <f>($B$2*C7)/($A$2+C7)</f>
        <v>1.7722222222222221</v>
      </c>
      <c r="E7" s="9">
        <f t="shared" si="1"/>
        <v>851.37614678899081</v>
      </c>
      <c r="F7" s="11">
        <f>(($B$2*E7)/($B$6+E7))*$A$6/($A$6+$A$7)</f>
        <v>1.0433102081268582</v>
      </c>
      <c r="G7" s="10">
        <v>93.333333333333329</v>
      </c>
      <c r="R7" s="2"/>
      <c r="S7" s="2" t="s">
        <v>8</v>
      </c>
      <c r="T7" s="4">
        <f t="shared" si="2"/>
        <v>1.7722222222222221</v>
      </c>
      <c r="U7" s="2" t="s">
        <v>3</v>
      </c>
      <c r="V7" s="2" t="s">
        <v>9</v>
      </c>
      <c r="W7" s="12">
        <f t="shared" si="3"/>
        <v>93.333333333333329</v>
      </c>
      <c r="X7" s="2" t="s">
        <v>4</v>
      </c>
      <c r="Y7" s="2" t="s">
        <v>8</v>
      </c>
      <c r="Z7" s="4">
        <f t="shared" si="4"/>
        <v>1.0433102081268582</v>
      </c>
      <c r="AA7" s="2" t="s">
        <v>3</v>
      </c>
      <c r="AB7" s="2" t="s">
        <v>9</v>
      </c>
      <c r="AC7" s="12">
        <f t="shared" si="5"/>
        <v>93.333333333333329</v>
      </c>
      <c r="AD7" s="2" t="s">
        <v>4</v>
      </c>
    </row>
    <row r="8" spans="1:30" x14ac:dyDescent="0.25">
      <c r="C8" s="9">
        <v>870</v>
      </c>
      <c r="D8" s="10">
        <f t="shared" si="0"/>
        <v>1.5352941176470589</v>
      </c>
      <c r="E8" s="9">
        <f t="shared" si="1"/>
        <v>684.02948402948402</v>
      </c>
      <c r="F8" s="11">
        <f>(($B$2*E8)/($B$6+E8))*$A$6/($A$6+$A$7)</f>
        <v>0.92153487014881807</v>
      </c>
      <c r="G8" s="10">
        <v>104.44444444444444</v>
      </c>
      <c r="R8" s="2"/>
      <c r="S8" s="2" t="s">
        <v>8</v>
      </c>
      <c r="T8" s="4">
        <f t="shared" si="2"/>
        <v>1.5352941176470589</v>
      </c>
      <c r="U8" s="2" t="s">
        <v>3</v>
      </c>
      <c r="V8" s="2" t="s">
        <v>9</v>
      </c>
      <c r="W8" s="12">
        <f t="shared" si="3"/>
        <v>104.44444444444444</v>
      </c>
      <c r="X8" s="2" t="s">
        <v>4</v>
      </c>
      <c r="Y8" s="2" t="s">
        <v>8</v>
      </c>
      <c r="Z8" s="4">
        <f t="shared" si="4"/>
        <v>0.92153487014881807</v>
      </c>
      <c r="AA8" s="2" t="s">
        <v>3</v>
      </c>
      <c r="AB8" s="2" t="s">
        <v>9</v>
      </c>
      <c r="AC8" s="12">
        <f t="shared" si="5"/>
        <v>104.44444444444444</v>
      </c>
      <c r="AD8" s="2" t="s">
        <v>4</v>
      </c>
    </row>
    <row r="9" spans="1:30" x14ac:dyDescent="0.25">
      <c r="C9" s="9">
        <v>665</v>
      </c>
      <c r="D9" s="10">
        <f t="shared" si="0"/>
        <v>1.3180180180180181</v>
      </c>
      <c r="E9" s="9">
        <f t="shared" si="1"/>
        <v>550.58214747736088</v>
      </c>
      <c r="F9" s="11">
        <f t="shared" si="6"/>
        <v>0.80558985483063561</v>
      </c>
      <c r="G9" s="10">
        <v>115.55555555555556</v>
      </c>
      <c r="R9" s="2"/>
      <c r="S9" s="2" t="s">
        <v>8</v>
      </c>
      <c r="T9" s="4">
        <f t="shared" si="2"/>
        <v>1.3180180180180181</v>
      </c>
      <c r="U9" s="2" t="s">
        <v>3</v>
      </c>
      <c r="V9" s="2" t="s">
        <v>9</v>
      </c>
      <c r="W9" s="12">
        <f t="shared" si="3"/>
        <v>115.55555555555556</v>
      </c>
      <c r="X9" s="2" t="s">
        <v>4</v>
      </c>
      <c r="Y9" s="2" t="s">
        <v>8</v>
      </c>
      <c r="Z9" s="4">
        <f t="shared" si="4"/>
        <v>0.80558985483063561</v>
      </c>
      <c r="AA9" s="2" t="s">
        <v>3</v>
      </c>
      <c r="AB9" s="2" t="s">
        <v>9</v>
      </c>
      <c r="AC9" s="12">
        <f t="shared" si="5"/>
        <v>115.55555555555556</v>
      </c>
      <c r="AD9" s="2" t="s">
        <v>4</v>
      </c>
    </row>
    <row r="10" spans="1:30" x14ac:dyDescent="0.25">
      <c r="C10" s="9">
        <v>515</v>
      </c>
      <c r="D10" s="10">
        <f t="shared" si="0"/>
        <v>1.1217821782178219</v>
      </c>
      <c r="E10" s="9">
        <f t="shared" si="1"/>
        <v>443.60699865410498</v>
      </c>
      <c r="F10" s="11">
        <f t="shared" si="6"/>
        <v>0.69716576542979669</v>
      </c>
      <c r="G10" s="10">
        <v>126.66666666666667</v>
      </c>
      <c r="R10" s="2"/>
      <c r="S10" s="2" t="s">
        <v>8</v>
      </c>
      <c r="T10" s="4">
        <f t="shared" si="2"/>
        <v>1.1217821782178219</v>
      </c>
      <c r="U10" s="2" t="s">
        <v>3</v>
      </c>
      <c r="V10" s="2" t="s">
        <v>9</v>
      </c>
      <c r="W10" s="12">
        <f t="shared" si="3"/>
        <v>126.66666666666667</v>
      </c>
      <c r="X10" s="2" t="s">
        <v>4</v>
      </c>
      <c r="Y10" s="2" t="s">
        <v>8</v>
      </c>
      <c r="Z10" s="4">
        <f t="shared" si="4"/>
        <v>0.69716576542979669</v>
      </c>
      <c r="AA10" s="2" t="s">
        <v>3</v>
      </c>
      <c r="AB10" s="2" t="s">
        <v>9</v>
      </c>
      <c r="AC10" s="12">
        <f t="shared" si="5"/>
        <v>126.66666666666667</v>
      </c>
      <c r="AD10" s="2" t="s">
        <v>4</v>
      </c>
    </row>
    <row r="11" spans="1:30" x14ac:dyDescent="0.25">
      <c r="C11" s="9">
        <v>405</v>
      </c>
      <c r="D11" s="10">
        <f t="shared" si="0"/>
        <v>0.95124555160142343</v>
      </c>
      <c r="E11" s="9">
        <f t="shared" si="1"/>
        <v>359.50069348127602</v>
      </c>
      <c r="F11" s="11">
        <f t="shared" si="6"/>
        <v>0.5999387880024486</v>
      </c>
      <c r="G11" s="10">
        <v>137.77777777777777</v>
      </c>
      <c r="R11" s="2"/>
      <c r="S11" s="2" t="s">
        <v>8</v>
      </c>
      <c r="T11" s="4">
        <f t="shared" si="2"/>
        <v>0.95124555160142343</v>
      </c>
      <c r="U11" s="2" t="s">
        <v>3</v>
      </c>
      <c r="V11" s="2" t="s">
        <v>9</v>
      </c>
      <c r="W11" s="12">
        <f t="shared" si="3"/>
        <v>137.77777777777777</v>
      </c>
      <c r="X11" s="2" t="s">
        <v>4</v>
      </c>
      <c r="Y11" s="2" t="s">
        <v>8</v>
      </c>
      <c r="Z11" s="4">
        <f t="shared" si="4"/>
        <v>0.5999387880024486</v>
      </c>
      <c r="AA11" s="2" t="s">
        <v>3</v>
      </c>
      <c r="AB11" s="2" t="s">
        <v>9</v>
      </c>
      <c r="AC11" s="12">
        <f t="shared" si="5"/>
        <v>137.77777777777777</v>
      </c>
      <c r="AD11" s="2" t="s">
        <v>4</v>
      </c>
    </row>
    <row r="12" spans="1:30" x14ac:dyDescent="0.25">
      <c r="C12" s="9">
        <v>323</v>
      </c>
      <c r="D12" s="10">
        <f>($B$2*C12)/($A$2+C12)</f>
        <v>0.80566893424036268</v>
      </c>
      <c r="E12" s="9">
        <f t="shared" si="1"/>
        <v>293.38631847856942</v>
      </c>
      <c r="F12" s="11">
        <f>(($B$2*E12)/($B$6+E12))*$A$6/($A$6+$A$7)</f>
        <v>0.51463371812316205</v>
      </c>
      <c r="G12" s="10">
        <v>148.88888888888889</v>
      </c>
      <c r="R12" s="2"/>
      <c r="S12" s="2" t="s">
        <v>8</v>
      </c>
      <c r="T12" s="4">
        <f t="shared" si="2"/>
        <v>0.80566893424036268</v>
      </c>
      <c r="U12" s="2" t="s">
        <v>3</v>
      </c>
      <c r="V12" s="2" t="s">
        <v>9</v>
      </c>
      <c r="W12" s="12">
        <f t="shared" si="3"/>
        <v>148.88888888888889</v>
      </c>
      <c r="X12" s="2" t="s">
        <v>4</v>
      </c>
      <c r="Y12" s="2" t="s">
        <v>8</v>
      </c>
      <c r="Z12" s="4">
        <f t="shared" si="4"/>
        <v>0.51463371812316205</v>
      </c>
      <c r="AA12" s="2" t="s">
        <v>3</v>
      </c>
      <c r="AB12" s="2" t="s">
        <v>9</v>
      </c>
      <c r="AC12" s="12">
        <f t="shared" si="5"/>
        <v>148.88888888888889</v>
      </c>
      <c r="AD12" s="2" t="s">
        <v>4</v>
      </c>
    </row>
    <row r="13" spans="1:30" x14ac:dyDescent="0.25">
      <c r="C13" s="9"/>
      <c r="G13" s="9"/>
      <c r="S13" s="2" t="s">
        <v>7</v>
      </c>
      <c r="T13" s="4"/>
      <c r="U13" s="2"/>
      <c r="V13" s="2"/>
      <c r="W13" s="12"/>
      <c r="X13" s="2"/>
      <c r="Y13" s="2" t="s">
        <v>7</v>
      </c>
      <c r="Z13" s="4"/>
      <c r="AA13" s="2"/>
      <c r="AB13" s="2"/>
      <c r="AC13" s="12"/>
      <c r="AD13" s="2"/>
    </row>
    <row r="14" spans="1:30" x14ac:dyDescent="0.25">
      <c r="C14" s="9"/>
      <c r="G14" s="9"/>
    </row>
    <row r="15" spans="1:30" x14ac:dyDescent="0.25">
      <c r="C15" s="9"/>
      <c r="G15" s="9"/>
    </row>
    <row r="16" spans="1:30" x14ac:dyDescent="0.25">
      <c r="C16" s="9"/>
      <c r="G16" s="9"/>
    </row>
    <row r="19" spans="13:26" x14ac:dyDescent="0.25">
      <c r="M19" s="5"/>
    </row>
    <row r="22" spans="13:26" x14ac:dyDescent="0.25">
      <c r="M22" s="1"/>
    </row>
    <row r="24" spans="13:26" x14ac:dyDescent="0.25">
      <c r="T24"/>
      <c r="Z24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ADA3-F08D-4452-B58D-3731F9ED0507}">
  <dimension ref="A1:AD48"/>
  <sheetViews>
    <sheetView zoomScaleNormal="100" workbookViewId="0">
      <selection activeCell="D14" sqref="A1:XFD1048576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3" max="13" width="9.14062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5.5703125" style="13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5.5703125" style="13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12"/>
      <c r="X1" s="2"/>
      <c r="Y1" s="2" t="s">
        <v>17</v>
      </c>
      <c r="Z1" s="4"/>
      <c r="AA1" s="2"/>
      <c r="AB1" s="2"/>
      <c r="AC1" s="12"/>
      <c r="AD1" s="2"/>
    </row>
    <row r="2" spans="1:30" x14ac:dyDescent="0.25">
      <c r="A2">
        <v>1000</v>
      </c>
      <c r="B2">
        <v>3.3</v>
      </c>
      <c r="C2" s="29">
        <v>322.8</v>
      </c>
      <c r="D2" s="10">
        <f>($B$2*C2)/($A$2+C2)</f>
        <v>0.80529180526156641</v>
      </c>
      <c r="E2" s="9">
        <f>C2*($A$6+$A$7)/(C2+$A$6+$A$7)</f>
        <v>293.22130123765186</v>
      </c>
      <c r="F2" s="11">
        <f>(($B$2*E2)/($B$6+E2))*$A$6/($A$6+$A$7)</f>
        <v>0.51440988989762404</v>
      </c>
      <c r="G2" s="29">
        <v>50</v>
      </c>
      <c r="R2" s="2"/>
      <c r="S2" s="2" t="s">
        <v>8</v>
      </c>
      <c r="T2" s="4">
        <f>D2</f>
        <v>0.80529180526156641</v>
      </c>
      <c r="U2" s="2" t="s">
        <v>3</v>
      </c>
      <c r="V2" s="2" t="s">
        <v>9</v>
      </c>
      <c r="W2" s="12">
        <f>G2</f>
        <v>50</v>
      </c>
      <c r="X2" s="2" t="s">
        <v>4</v>
      </c>
      <c r="Y2" s="2" t="s">
        <v>8</v>
      </c>
      <c r="Z2" s="4">
        <f>F2</f>
        <v>0.51440988989762404</v>
      </c>
      <c r="AA2" s="2" t="s">
        <v>3</v>
      </c>
      <c r="AB2" s="2" t="s">
        <v>9</v>
      </c>
      <c r="AC2" s="12">
        <f>G2</f>
        <v>50</v>
      </c>
      <c r="AD2" s="2" t="s">
        <v>4</v>
      </c>
    </row>
    <row r="3" spans="1:30" x14ac:dyDescent="0.25">
      <c r="C3" s="29">
        <v>165</v>
      </c>
      <c r="D3" s="10">
        <f t="shared" ref="D3:D11" si="0">($B$2*C3)/($A$2+C3)</f>
        <v>0.46738197424892702</v>
      </c>
      <c r="E3" s="9">
        <f t="shared" ref="E3:E12" si="1">C3*($A$6+$A$7)/(C3+$A$6+$A$7)</f>
        <v>156.90936106983656</v>
      </c>
      <c r="F3" s="11">
        <f>(($B$2*E3)/($B$6+E3))*$A$6/($A$6+$A$7)</f>
        <v>0.30770613922424866</v>
      </c>
      <c r="G3" s="29">
        <v>60</v>
      </c>
      <c r="R3" s="2"/>
      <c r="S3" s="2" t="s">
        <v>8</v>
      </c>
      <c r="T3" s="4">
        <f t="shared" ref="T3:T12" si="2">D3</f>
        <v>0.46738197424892702</v>
      </c>
      <c r="U3" s="2" t="s">
        <v>3</v>
      </c>
      <c r="V3" s="2" t="s">
        <v>9</v>
      </c>
      <c r="W3" s="12">
        <f t="shared" ref="W3:W12" si="3">G3</f>
        <v>60</v>
      </c>
      <c r="X3" s="2" t="s">
        <v>4</v>
      </c>
      <c r="Y3" s="2" t="s">
        <v>8</v>
      </c>
      <c r="Z3" s="4">
        <f t="shared" ref="Z3:Z12" si="4">F3</f>
        <v>0.30770613922424866</v>
      </c>
      <c r="AA3" s="2" t="s">
        <v>3</v>
      </c>
      <c r="AB3" s="2" t="s">
        <v>9</v>
      </c>
      <c r="AC3" s="12">
        <f t="shared" ref="AC3:AC12" si="5">G3</f>
        <v>60</v>
      </c>
      <c r="AD3" s="2" t="s">
        <v>4</v>
      </c>
    </row>
    <row r="4" spans="1:30" x14ac:dyDescent="0.25">
      <c r="A4" t="s">
        <v>13</v>
      </c>
      <c r="C4" s="29">
        <v>133</v>
      </c>
      <c r="D4" s="10">
        <f t="shared" si="0"/>
        <v>0.38737864077669903</v>
      </c>
      <c r="E4" s="9">
        <f t="shared" si="1"/>
        <v>127.69276927692769</v>
      </c>
      <c r="F4" s="11">
        <f>(($B$2*E4)/($B$6+E4))*$A$6/($A$6+$A$7)</f>
        <v>0.25689884531474483</v>
      </c>
      <c r="G4" s="29">
        <v>70</v>
      </c>
      <c r="R4" s="2"/>
      <c r="S4" s="2" t="s">
        <v>8</v>
      </c>
      <c r="T4" s="4">
        <f t="shared" si="2"/>
        <v>0.38737864077669903</v>
      </c>
      <c r="U4" s="2" t="s">
        <v>3</v>
      </c>
      <c r="V4" s="2" t="s">
        <v>9</v>
      </c>
      <c r="W4" s="12">
        <f t="shared" si="3"/>
        <v>70</v>
      </c>
      <c r="X4" s="2" t="s">
        <v>4</v>
      </c>
      <c r="Y4" s="2" t="s">
        <v>8</v>
      </c>
      <c r="Z4" s="4">
        <f t="shared" si="4"/>
        <v>0.25689884531474483</v>
      </c>
      <c r="AA4" s="2" t="s">
        <v>3</v>
      </c>
      <c r="AB4" s="2" t="s">
        <v>9</v>
      </c>
      <c r="AC4" s="12">
        <f t="shared" si="5"/>
        <v>70</v>
      </c>
      <c r="AD4" s="2" t="s">
        <v>4</v>
      </c>
    </row>
    <row r="5" spans="1:30" x14ac:dyDescent="0.25">
      <c r="A5" t="s">
        <v>11</v>
      </c>
      <c r="B5" t="s">
        <v>14</v>
      </c>
      <c r="C5" s="29">
        <v>112.5</v>
      </c>
      <c r="D5" s="10">
        <f>($B$2*C5)/($A$2+C5)</f>
        <v>0.33370786516853934</v>
      </c>
      <c r="E5" s="9">
        <f t="shared" si="1"/>
        <v>108.67924528301887</v>
      </c>
      <c r="F5" s="11">
        <f>(($B$2*E5)/($B$6+E5))*$A$6/($A$6+$A$7)</f>
        <v>0.22239618788291357</v>
      </c>
      <c r="G5" s="29">
        <v>80</v>
      </c>
      <c r="R5" s="2"/>
      <c r="S5" s="2" t="s">
        <v>8</v>
      </c>
      <c r="T5" s="4">
        <f t="shared" si="2"/>
        <v>0.33370786516853934</v>
      </c>
      <c r="U5" s="2" t="s">
        <v>3</v>
      </c>
      <c r="V5" s="2" t="s">
        <v>9</v>
      </c>
      <c r="W5" s="12">
        <f t="shared" si="3"/>
        <v>80</v>
      </c>
      <c r="X5" s="2" t="s">
        <v>4</v>
      </c>
      <c r="Y5" s="2" t="s">
        <v>8</v>
      </c>
      <c r="Z5" s="4">
        <f t="shared" si="4"/>
        <v>0.22239618788291357</v>
      </c>
      <c r="AA5" s="2" t="s">
        <v>3</v>
      </c>
      <c r="AB5" s="2" t="s">
        <v>9</v>
      </c>
      <c r="AC5" s="12">
        <f t="shared" si="5"/>
        <v>80</v>
      </c>
      <c r="AD5" s="2" t="s">
        <v>4</v>
      </c>
    </row>
    <row r="6" spans="1:30" x14ac:dyDescent="0.25">
      <c r="A6">
        <v>2200</v>
      </c>
      <c r="B6">
        <v>1000</v>
      </c>
      <c r="C6" s="29">
        <v>83</v>
      </c>
      <c r="D6" s="10">
        <f>($B$2*C6)/($A$2+C6)</f>
        <v>0.25290858725761772</v>
      </c>
      <c r="E6" s="9">
        <f t="shared" si="1"/>
        <v>80.90161437709412</v>
      </c>
      <c r="F6" s="11">
        <f t="shared" ref="F6:F11" si="6">(($B$2*E6)/($B$6+E6))*$A$6/($A$6+$A$7)</f>
        <v>0.16980781153130814</v>
      </c>
      <c r="G6" s="29">
        <v>90</v>
      </c>
      <c r="R6" s="2"/>
      <c r="S6" s="2" t="s">
        <v>8</v>
      </c>
      <c r="T6" s="4">
        <f t="shared" si="2"/>
        <v>0.25290858725761772</v>
      </c>
      <c r="U6" s="2" t="s">
        <v>3</v>
      </c>
      <c r="V6" s="2" t="s">
        <v>9</v>
      </c>
      <c r="W6" s="12">
        <f t="shared" si="3"/>
        <v>90</v>
      </c>
      <c r="X6" s="2" t="s">
        <v>4</v>
      </c>
      <c r="Y6" s="2" t="s">
        <v>8</v>
      </c>
      <c r="Z6" s="4">
        <f t="shared" si="4"/>
        <v>0.16980781153130814</v>
      </c>
      <c r="AA6" s="2" t="s">
        <v>3</v>
      </c>
      <c r="AB6" s="2" t="s">
        <v>9</v>
      </c>
      <c r="AC6" s="12">
        <f t="shared" si="5"/>
        <v>90</v>
      </c>
      <c r="AD6" s="2" t="s">
        <v>4</v>
      </c>
    </row>
    <row r="7" spans="1:30" x14ac:dyDescent="0.25">
      <c r="A7">
        <v>1000</v>
      </c>
      <c r="C7" s="29">
        <v>62.2</v>
      </c>
      <c r="D7" s="10">
        <f>($B$2*C7)/($A$2+C7)</f>
        <v>0.19324044436076065</v>
      </c>
      <c r="E7" s="9">
        <f t="shared" si="1"/>
        <v>61.014039605174425</v>
      </c>
      <c r="F7" s="11">
        <f>(($B$2*E7)/($B$6+E7))*$A$6/($A$6+$A$7)</f>
        <v>0.13046538234852251</v>
      </c>
      <c r="G7" s="29">
        <v>100</v>
      </c>
      <c r="R7" s="2"/>
      <c r="S7" s="2" t="s">
        <v>8</v>
      </c>
      <c r="T7" s="4">
        <f t="shared" si="2"/>
        <v>0.19324044436076065</v>
      </c>
      <c r="U7" s="2" t="s">
        <v>3</v>
      </c>
      <c r="V7" s="2" t="s">
        <v>9</v>
      </c>
      <c r="W7" s="12">
        <f t="shared" si="3"/>
        <v>100</v>
      </c>
      <c r="X7" s="2" t="s">
        <v>4</v>
      </c>
      <c r="Y7" s="2" t="s">
        <v>8</v>
      </c>
      <c r="Z7" s="4">
        <f t="shared" si="4"/>
        <v>0.13046538234852251</v>
      </c>
      <c r="AA7" s="2" t="s">
        <v>3</v>
      </c>
      <c r="AB7" s="2" t="s">
        <v>9</v>
      </c>
      <c r="AC7" s="12">
        <f t="shared" si="5"/>
        <v>100</v>
      </c>
      <c r="AD7" s="2" t="s">
        <v>4</v>
      </c>
    </row>
    <row r="8" spans="1:30" x14ac:dyDescent="0.25">
      <c r="C8" s="29">
        <v>47.5</v>
      </c>
      <c r="D8" s="10">
        <f t="shared" si="0"/>
        <v>0.14964200477326969</v>
      </c>
      <c r="E8" s="9">
        <f t="shared" si="1"/>
        <v>46.805234795996924</v>
      </c>
      <c r="F8" s="11">
        <f>(($B$2*E8)/($B$6+E8))*$A$6/($A$6+$A$7)</f>
        <v>0.10144138843947639</v>
      </c>
      <c r="G8" s="29">
        <v>110</v>
      </c>
      <c r="R8" s="2"/>
      <c r="S8" s="2" t="s">
        <v>8</v>
      </c>
      <c r="T8" s="4">
        <f t="shared" si="2"/>
        <v>0.14964200477326969</v>
      </c>
      <c r="U8" s="2" t="s">
        <v>3</v>
      </c>
      <c r="V8" s="2" t="s">
        <v>9</v>
      </c>
      <c r="W8" s="12">
        <f t="shared" si="3"/>
        <v>110</v>
      </c>
      <c r="X8" s="2" t="s">
        <v>4</v>
      </c>
      <c r="Y8" s="2" t="s">
        <v>8</v>
      </c>
      <c r="Z8" s="4">
        <f t="shared" si="4"/>
        <v>0.10144138843947639</v>
      </c>
      <c r="AA8" s="2" t="s">
        <v>3</v>
      </c>
      <c r="AB8" s="2" t="s">
        <v>9</v>
      </c>
      <c r="AC8" s="12">
        <f t="shared" si="5"/>
        <v>110</v>
      </c>
      <c r="AD8" s="2" t="s">
        <v>4</v>
      </c>
    </row>
    <row r="9" spans="1:30" x14ac:dyDescent="0.25">
      <c r="C9" s="29">
        <v>36.5</v>
      </c>
      <c r="D9" s="10">
        <f t="shared" si="0"/>
        <v>0.11620839363241678</v>
      </c>
      <c r="E9" s="9">
        <f t="shared" si="1"/>
        <v>36.088367063185537</v>
      </c>
      <c r="F9" s="11">
        <f t="shared" si="6"/>
        <v>7.9023648346405018E-2</v>
      </c>
      <c r="G9" s="29">
        <v>120</v>
      </c>
      <c r="R9" s="2"/>
      <c r="S9" s="2" t="s">
        <v>8</v>
      </c>
      <c r="T9" s="4">
        <f t="shared" si="2"/>
        <v>0.11620839363241678</v>
      </c>
      <c r="U9" s="2" t="s">
        <v>3</v>
      </c>
      <c r="V9" s="2" t="s">
        <v>9</v>
      </c>
      <c r="W9" s="12">
        <f t="shared" si="3"/>
        <v>120</v>
      </c>
      <c r="X9" s="2" t="s">
        <v>4</v>
      </c>
      <c r="Y9" s="2" t="s">
        <v>8</v>
      </c>
      <c r="Z9" s="4">
        <f t="shared" si="4"/>
        <v>7.9023648346405018E-2</v>
      </c>
      <c r="AA9" s="2" t="s">
        <v>3</v>
      </c>
      <c r="AB9" s="2" t="s">
        <v>9</v>
      </c>
      <c r="AC9" s="12">
        <f t="shared" si="5"/>
        <v>120</v>
      </c>
      <c r="AD9" s="2" t="s">
        <v>4</v>
      </c>
    </row>
    <row r="10" spans="1:30" x14ac:dyDescent="0.25">
      <c r="C10" s="29">
        <v>28.9</v>
      </c>
      <c r="D10" s="10">
        <f t="shared" si="0"/>
        <v>9.2691223636893749E-2</v>
      </c>
      <c r="E10" s="9">
        <f t="shared" si="1"/>
        <v>28.641332961689738</v>
      </c>
      <c r="F10" s="11">
        <f t="shared" si="6"/>
        <v>6.3170730238635731E-2</v>
      </c>
      <c r="G10" s="29">
        <v>130</v>
      </c>
      <c r="R10" s="2"/>
      <c r="S10" s="2" t="s">
        <v>8</v>
      </c>
      <c r="T10" s="4">
        <f t="shared" si="2"/>
        <v>9.2691223636893749E-2</v>
      </c>
      <c r="U10" s="2" t="s">
        <v>3</v>
      </c>
      <c r="V10" s="2" t="s">
        <v>9</v>
      </c>
      <c r="W10" s="12">
        <f t="shared" si="3"/>
        <v>130</v>
      </c>
      <c r="X10" s="2" t="s">
        <v>4</v>
      </c>
      <c r="Y10" s="2" t="s">
        <v>8</v>
      </c>
      <c r="Z10" s="4">
        <f t="shared" si="4"/>
        <v>6.3170730238635731E-2</v>
      </c>
      <c r="AA10" s="2" t="s">
        <v>3</v>
      </c>
      <c r="AB10" s="2" t="s">
        <v>9</v>
      </c>
      <c r="AC10" s="12">
        <f t="shared" si="5"/>
        <v>130</v>
      </c>
      <c r="AD10" s="2" t="s">
        <v>4</v>
      </c>
    </row>
    <row r="11" spans="1:30" x14ac:dyDescent="0.25">
      <c r="C11" s="29">
        <v>23.1</v>
      </c>
      <c r="D11" s="10">
        <f t="shared" si="0"/>
        <v>7.4508845665135381E-2</v>
      </c>
      <c r="E11" s="9">
        <f t="shared" si="1"/>
        <v>22.934441996835346</v>
      </c>
      <c r="F11" s="11">
        <f t="shared" si="6"/>
        <v>5.0865933479323756E-2</v>
      </c>
      <c r="G11" s="29">
        <v>140</v>
      </c>
      <c r="R11" s="2"/>
      <c r="S11" s="2" t="s">
        <v>8</v>
      </c>
      <c r="T11" s="4">
        <f t="shared" si="2"/>
        <v>7.4508845665135381E-2</v>
      </c>
      <c r="U11" s="2" t="s">
        <v>3</v>
      </c>
      <c r="V11" s="2" t="s">
        <v>9</v>
      </c>
      <c r="W11" s="12">
        <f t="shared" si="3"/>
        <v>140</v>
      </c>
      <c r="X11" s="2" t="s">
        <v>4</v>
      </c>
      <c r="Y11" s="2" t="s">
        <v>8</v>
      </c>
      <c r="Z11" s="4">
        <f t="shared" si="4"/>
        <v>5.0865933479323756E-2</v>
      </c>
      <c r="AA11" s="2" t="s">
        <v>3</v>
      </c>
      <c r="AB11" s="2" t="s">
        <v>9</v>
      </c>
      <c r="AC11" s="12">
        <f t="shared" si="5"/>
        <v>140</v>
      </c>
      <c r="AD11" s="2" t="s">
        <v>4</v>
      </c>
    </row>
    <row r="12" spans="1:30" x14ac:dyDescent="0.25">
      <c r="C12" s="29">
        <v>18.600000000000001</v>
      </c>
      <c r="D12" s="10">
        <f>($B$2*C12)/($A$2+C12)</f>
        <v>6.0259179265658748E-2</v>
      </c>
      <c r="E12" s="9">
        <f t="shared" si="1"/>
        <v>18.492512272416583</v>
      </c>
      <c r="F12" s="11">
        <f>(($B$2*E12)/($B$6+E12))*$A$6/($A$6+$A$7)</f>
        <v>4.1193122887508704E-2</v>
      </c>
      <c r="G12" s="29">
        <v>150</v>
      </c>
      <c r="R12" s="2"/>
      <c r="S12" s="2" t="s">
        <v>8</v>
      </c>
      <c r="T12" s="4">
        <f t="shared" si="2"/>
        <v>6.0259179265658748E-2</v>
      </c>
      <c r="U12" s="2" t="s">
        <v>3</v>
      </c>
      <c r="V12" s="2" t="s">
        <v>9</v>
      </c>
      <c r="W12" s="12">
        <f t="shared" si="3"/>
        <v>150</v>
      </c>
      <c r="X12" s="2" t="s">
        <v>4</v>
      </c>
      <c r="Y12" s="2" t="s">
        <v>8</v>
      </c>
      <c r="Z12" s="4">
        <f t="shared" si="4"/>
        <v>4.1193122887508704E-2</v>
      </c>
      <c r="AA12" s="2" t="s">
        <v>3</v>
      </c>
      <c r="AB12" s="2" t="s">
        <v>9</v>
      </c>
      <c r="AC12" s="12">
        <f t="shared" si="5"/>
        <v>150</v>
      </c>
      <c r="AD12" s="2" t="s">
        <v>4</v>
      </c>
    </row>
    <row r="13" spans="1:30" x14ac:dyDescent="0.25">
      <c r="C13" s="9"/>
      <c r="G13" s="9"/>
      <c r="S13" s="2" t="s">
        <v>7</v>
      </c>
      <c r="T13" s="4"/>
      <c r="U13" s="2"/>
      <c r="V13" s="2"/>
      <c r="W13" s="12"/>
      <c r="X13" s="2"/>
      <c r="Y13" s="2" t="s">
        <v>7</v>
      </c>
      <c r="Z13" s="4"/>
      <c r="AA13" s="2"/>
      <c r="AB13" s="2"/>
      <c r="AC13" s="12"/>
      <c r="AD13" s="2"/>
    </row>
    <row r="14" spans="1:30" x14ac:dyDescent="0.25">
      <c r="C14" s="9"/>
      <c r="G14" s="9"/>
    </row>
    <row r="15" spans="1:30" x14ac:dyDescent="0.25">
      <c r="C15" s="9"/>
      <c r="G15" s="9"/>
    </row>
    <row r="16" spans="1:30" x14ac:dyDescent="0.25">
      <c r="C16" s="9"/>
      <c r="G16" s="9"/>
    </row>
    <row r="19" spans="13:26" x14ac:dyDescent="0.25">
      <c r="M19" s="5"/>
    </row>
    <row r="22" spans="13:26" x14ac:dyDescent="0.25">
      <c r="M22" s="1"/>
    </row>
    <row r="24" spans="13:26" x14ac:dyDescent="0.25">
      <c r="T24"/>
      <c r="Z24"/>
    </row>
    <row r="37" spans="6:7" x14ac:dyDescent="0.25">
      <c r="F37" s="28"/>
      <c r="G37" s="28"/>
    </row>
    <row r="38" spans="6:7" x14ac:dyDescent="0.25">
      <c r="F38" s="29"/>
      <c r="G38" s="29"/>
    </row>
    <row r="39" spans="6:7" x14ac:dyDescent="0.25">
      <c r="F39" s="29"/>
      <c r="G39" s="29"/>
    </row>
    <row r="40" spans="6:7" x14ac:dyDescent="0.25">
      <c r="F40" s="29"/>
      <c r="G40" s="29"/>
    </row>
    <row r="41" spans="6:7" x14ac:dyDescent="0.25">
      <c r="F41" s="29"/>
      <c r="G41" s="29"/>
    </row>
    <row r="42" spans="6:7" x14ac:dyDescent="0.25">
      <c r="F42" s="29"/>
      <c r="G42" s="29"/>
    </row>
    <row r="43" spans="6:7" x14ac:dyDescent="0.25">
      <c r="F43" s="29"/>
      <c r="G43" s="29"/>
    </row>
    <row r="44" spans="6:7" x14ac:dyDescent="0.25">
      <c r="F44" s="29"/>
      <c r="G44" s="29"/>
    </row>
    <row r="45" spans="6:7" x14ac:dyDescent="0.25">
      <c r="F45" s="29"/>
      <c r="G45" s="29"/>
    </row>
    <row r="46" spans="6:7" x14ac:dyDescent="0.25">
      <c r="F46" s="29"/>
      <c r="G46" s="29"/>
    </row>
    <row r="47" spans="6:7" x14ac:dyDescent="0.25">
      <c r="F47" s="29"/>
      <c r="G47" s="29"/>
    </row>
    <row r="48" spans="6:7" x14ac:dyDescent="0.25">
      <c r="F48" s="29"/>
      <c r="G48" s="29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CD25-7625-40B6-92BC-22083E9958EB}">
  <dimension ref="A1:AD142"/>
  <sheetViews>
    <sheetView tabSelected="1" workbookViewId="0">
      <selection activeCell="Q34" sqref="Q34"/>
    </sheetView>
  </sheetViews>
  <sheetFormatPr defaultRowHeight="15" x14ac:dyDescent="0.25"/>
  <cols>
    <col min="1" max="1" width="15" customWidth="1"/>
    <col min="2" max="2" width="15.140625" bestFit="1" customWidth="1"/>
    <col min="3" max="3" width="21.5703125" bestFit="1" customWidth="1"/>
    <col min="4" max="5" width="12.42578125" customWidth="1"/>
    <col min="6" max="6" width="14.5703125" bestFit="1" customWidth="1"/>
    <col min="7" max="7" width="16.7109375" customWidth="1"/>
    <col min="18" max="18" width="12.5703125" bestFit="1" customWidth="1"/>
    <col min="19" max="19" width="5.42578125" bestFit="1" customWidth="1"/>
    <col min="20" max="20" width="11.7109375" style="5" bestFit="1" customWidth="1"/>
    <col min="21" max="21" width="1.5703125" bestFit="1" customWidth="1"/>
    <col min="22" max="22" width="4.28515625" bestFit="1" customWidth="1"/>
    <col min="23" max="23" width="5.5703125" style="13" bestFit="1" customWidth="1"/>
    <col min="25" max="25" width="5.42578125" bestFit="1" customWidth="1"/>
    <col min="26" max="26" width="11.7109375" style="5" bestFit="1" customWidth="1"/>
    <col min="27" max="27" width="1.5703125" bestFit="1" customWidth="1"/>
    <col min="28" max="28" width="4.28515625" bestFit="1" customWidth="1"/>
    <col min="29" max="29" width="5.5703125" style="13" bestFit="1" customWidth="1"/>
  </cols>
  <sheetData>
    <row r="1" spans="1:30" x14ac:dyDescent="0.25">
      <c r="A1" s="7" t="s">
        <v>10</v>
      </c>
      <c r="B1" s="7" t="s">
        <v>2</v>
      </c>
      <c r="C1" s="8" t="s">
        <v>12</v>
      </c>
      <c r="D1" s="8" t="s">
        <v>0</v>
      </c>
      <c r="E1" s="8" t="s">
        <v>16</v>
      </c>
      <c r="F1" s="8" t="s">
        <v>15</v>
      </c>
      <c r="G1" s="8" t="s">
        <v>1</v>
      </c>
      <c r="R1" s="2" t="s">
        <v>6</v>
      </c>
      <c r="S1" s="2"/>
      <c r="T1" s="4"/>
      <c r="U1" s="2"/>
      <c r="V1" s="2"/>
      <c r="W1" s="12"/>
      <c r="X1" s="2"/>
      <c r="Y1" s="2" t="s">
        <v>17</v>
      </c>
      <c r="Z1" s="4"/>
      <c r="AA1" s="2"/>
      <c r="AB1" s="2"/>
      <c r="AC1" s="12"/>
      <c r="AD1" s="2"/>
    </row>
    <row r="2" spans="1:30" x14ac:dyDescent="0.25">
      <c r="A2">
        <v>1000</v>
      </c>
      <c r="B2">
        <v>3.3</v>
      </c>
      <c r="C2">
        <v>28136</v>
      </c>
      <c r="D2" s="10">
        <f>($B$2*C2)/($A$2+C2)</f>
        <v>3.1867380560131791</v>
      </c>
      <c r="E2" s="9">
        <f>C2*($A$6+$A$7)/(C2+$A$6+$A$7)</f>
        <v>2873.2193004850651</v>
      </c>
      <c r="F2" s="11">
        <f>(($B$2*E2)/($B$6+E2))*$A$6/($A$6+$A$7)</f>
        <v>1.6829969547965249</v>
      </c>
      <c r="G2" s="10">
        <v>-4</v>
      </c>
      <c r="R2" s="2"/>
      <c r="S2" s="2" t="s">
        <v>8</v>
      </c>
      <c r="T2" s="4">
        <f>D2</f>
        <v>3.1867380560131791</v>
      </c>
      <c r="U2" s="2" t="s">
        <v>3</v>
      </c>
      <c r="V2" s="2" t="s">
        <v>9</v>
      </c>
      <c r="W2" s="12">
        <f>G2</f>
        <v>-4</v>
      </c>
      <c r="X2" s="2" t="s">
        <v>4</v>
      </c>
      <c r="Y2" s="2" t="s">
        <v>8</v>
      </c>
      <c r="Z2" s="4">
        <f>F2</f>
        <v>1.6829969547965249</v>
      </c>
      <c r="AA2" s="2" t="s">
        <v>3</v>
      </c>
      <c r="AB2" s="2" t="s">
        <v>9</v>
      </c>
      <c r="AC2" s="12">
        <f>G2</f>
        <v>-4</v>
      </c>
      <c r="AD2" s="2" t="s">
        <v>4</v>
      </c>
    </row>
    <row r="3" spans="1:30" x14ac:dyDescent="0.25">
      <c r="C3">
        <v>15813</v>
      </c>
      <c r="D3" s="10">
        <f t="shared" ref="D3:D11" si="0">($B$2*C3)/($A$2+C3)</f>
        <v>3.1037233093439598</v>
      </c>
      <c r="E3" s="9">
        <f t="shared" ref="E3:E12" si="1">C3*($A$6+$A$7)/(C3+$A$6+$A$7)</f>
        <v>2661.4211329090622</v>
      </c>
      <c r="F3" s="11">
        <f>(($B$2*E3)/($B$6+E3))*$A$6/($A$6+$A$7)</f>
        <v>1.6491135480200994</v>
      </c>
      <c r="G3" s="10">
        <v>14</v>
      </c>
      <c r="R3" s="2"/>
      <c r="S3" s="2" t="s">
        <v>8</v>
      </c>
      <c r="T3" s="4">
        <f t="shared" ref="T3:T12" si="2">D3</f>
        <v>3.1037233093439598</v>
      </c>
      <c r="U3" s="2" t="s">
        <v>3</v>
      </c>
      <c r="V3" s="2" t="s">
        <v>9</v>
      </c>
      <c r="W3" s="12">
        <f t="shared" ref="W3:W12" si="3">G3</f>
        <v>14</v>
      </c>
      <c r="X3" s="2" t="s">
        <v>4</v>
      </c>
      <c r="Y3" s="2" t="s">
        <v>8</v>
      </c>
      <c r="Z3" s="4">
        <f t="shared" ref="Z3:Z12" si="4">F3</f>
        <v>1.6491135480200994</v>
      </c>
      <c r="AA3" s="2" t="s">
        <v>3</v>
      </c>
      <c r="AB3" s="2" t="s">
        <v>9</v>
      </c>
      <c r="AC3" s="12">
        <f t="shared" ref="AC3:AC12" si="5">G3</f>
        <v>14</v>
      </c>
      <c r="AD3" s="2" t="s">
        <v>4</v>
      </c>
    </row>
    <row r="4" spans="1:30" x14ac:dyDescent="0.25">
      <c r="A4" t="s">
        <v>13</v>
      </c>
      <c r="C4">
        <v>9319</v>
      </c>
      <c r="D4" s="10">
        <f t="shared" si="0"/>
        <v>2.9802015699195654</v>
      </c>
      <c r="E4" s="9">
        <f t="shared" si="1"/>
        <v>2382.043294192827</v>
      </c>
      <c r="F4" s="11">
        <f>(($B$2*E4)/($B$6+E4))*$A$6/($A$6+$A$7)</f>
        <v>1.5979277181280969</v>
      </c>
      <c r="G4" s="10">
        <v>32</v>
      </c>
      <c r="R4" s="2"/>
      <c r="S4" s="2" t="s">
        <v>8</v>
      </c>
      <c r="T4" s="4">
        <f t="shared" si="2"/>
        <v>2.9802015699195654</v>
      </c>
      <c r="U4" s="2" t="s">
        <v>3</v>
      </c>
      <c r="V4" s="2" t="s">
        <v>9</v>
      </c>
      <c r="W4" s="12">
        <f t="shared" si="3"/>
        <v>32</v>
      </c>
      <c r="X4" s="2" t="s">
        <v>4</v>
      </c>
      <c r="Y4" s="2" t="s">
        <v>8</v>
      </c>
      <c r="Z4" s="4">
        <f t="shared" si="4"/>
        <v>1.5979277181280969</v>
      </c>
      <c r="AA4" s="2" t="s">
        <v>3</v>
      </c>
      <c r="AB4" s="2" t="s">
        <v>9</v>
      </c>
      <c r="AC4" s="12">
        <f t="shared" si="5"/>
        <v>32</v>
      </c>
      <c r="AD4" s="2" t="s">
        <v>4</v>
      </c>
    </row>
    <row r="5" spans="1:30" x14ac:dyDescent="0.25">
      <c r="A5" t="s">
        <v>11</v>
      </c>
      <c r="B5" t="s">
        <v>14</v>
      </c>
      <c r="C5">
        <v>5589</v>
      </c>
      <c r="D5" s="10">
        <f>($B$2*C5)/($A$2+C5)</f>
        <v>2.7991652754590985</v>
      </c>
      <c r="E5" s="9">
        <f t="shared" si="1"/>
        <v>2034.9072704517009</v>
      </c>
      <c r="F5" s="11">
        <f>(($B$2*E5)/($B$6+E5))*$A$6/($A$6+$A$7)</f>
        <v>1.5211983294468725</v>
      </c>
      <c r="G5" s="10">
        <v>50</v>
      </c>
      <c r="R5" s="2"/>
      <c r="S5" s="2" t="s">
        <v>8</v>
      </c>
      <c r="T5" s="4">
        <f t="shared" si="2"/>
        <v>2.7991652754590985</v>
      </c>
      <c r="U5" s="2" t="s">
        <v>3</v>
      </c>
      <c r="V5" s="2" t="s">
        <v>9</v>
      </c>
      <c r="W5" s="12">
        <f t="shared" si="3"/>
        <v>50</v>
      </c>
      <c r="X5" s="2" t="s">
        <v>4</v>
      </c>
      <c r="Y5" s="2" t="s">
        <v>8</v>
      </c>
      <c r="Z5" s="4">
        <f t="shared" si="4"/>
        <v>1.5211983294468725</v>
      </c>
      <c r="AA5" s="2" t="s">
        <v>3</v>
      </c>
      <c r="AB5" s="2" t="s">
        <v>9</v>
      </c>
      <c r="AC5" s="12">
        <f t="shared" si="5"/>
        <v>50</v>
      </c>
      <c r="AD5" s="2" t="s">
        <v>4</v>
      </c>
    </row>
    <row r="6" spans="1:30" x14ac:dyDescent="0.25">
      <c r="A6">
        <v>2200</v>
      </c>
      <c r="B6">
        <v>1000</v>
      </c>
      <c r="C6">
        <v>3476</v>
      </c>
      <c r="D6" s="10">
        <f>($B$2*C6)/($A$2+C6)</f>
        <v>2.5627345844504021</v>
      </c>
      <c r="E6" s="9">
        <f t="shared" si="1"/>
        <v>1666.1473936488915</v>
      </c>
      <c r="F6" s="11">
        <f t="shared" ref="F6:F11" si="6">(($B$2*E6)/($B$6+E6))*$A$6/($A$6+$A$7)</f>
        <v>1.4178030473279699</v>
      </c>
      <c r="G6" s="10">
        <v>68</v>
      </c>
      <c r="R6" s="2"/>
      <c r="S6" s="2" t="s">
        <v>8</v>
      </c>
      <c r="T6" s="4">
        <f t="shared" si="2"/>
        <v>2.5627345844504021</v>
      </c>
      <c r="U6" s="2" t="s">
        <v>3</v>
      </c>
      <c r="V6" s="2" t="s">
        <v>9</v>
      </c>
      <c r="W6" s="12">
        <f t="shared" si="3"/>
        <v>68</v>
      </c>
      <c r="X6" s="2" t="s">
        <v>4</v>
      </c>
      <c r="Y6" s="2" t="s">
        <v>8</v>
      </c>
      <c r="Z6" s="4">
        <f t="shared" si="4"/>
        <v>1.4178030473279699</v>
      </c>
      <c r="AA6" s="2" t="s">
        <v>3</v>
      </c>
      <c r="AB6" s="2" t="s">
        <v>9</v>
      </c>
      <c r="AC6" s="12">
        <f t="shared" si="5"/>
        <v>68</v>
      </c>
      <c r="AD6" s="2" t="s">
        <v>4</v>
      </c>
    </row>
    <row r="7" spans="1:30" x14ac:dyDescent="0.25">
      <c r="A7">
        <v>1000</v>
      </c>
      <c r="C7">
        <v>2230</v>
      </c>
      <c r="D7" s="10">
        <f>($B$2*C7)/($A$2+C7)</f>
        <v>2.278328173374613</v>
      </c>
      <c r="E7" s="9">
        <f t="shared" si="1"/>
        <v>1314.1804788213628</v>
      </c>
      <c r="F7" s="11">
        <f>(($B$2*E7)/($B$6+E7))*$A$6/($A$6+$A$7)</f>
        <v>1.2883813464905298</v>
      </c>
      <c r="G7" s="10">
        <v>86</v>
      </c>
      <c r="R7" s="2"/>
      <c r="S7" s="2" t="s">
        <v>8</v>
      </c>
      <c r="T7" s="4">
        <f t="shared" si="2"/>
        <v>2.278328173374613</v>
      </c>
      <c r="U7" s="2" t="s">
        <v>3</v>
      </c>
      <c r="V7" s="2" t="s">
        <v>9</v>
      </c>
      <c r="W7" s="12">
        <f t="shared" si="3"/>
        <v>86</v>
      </c>
      <c r="X7" s="2" t="s">
        <v>4</v>
      </c>
      <c r="Y7" s="2" t="s">
        <v>8</v>
      </c>
      <c r="Z7" s="4">
        <f t="shared" si="4"/>
        <v>1.2883813464905298</v>
      </c>
      <c r="AA7" s="2" t="s">
        <v>3</v>
      </c>
      <c r="AB7" s="2" t="s">
        <v>9</v>
      </c>
      <c r="AC7" s="12">
        <f t="shared" si="5"/>
        <v>86</v>
      </c>
      <c r="AD7" s="2" t="s">
        <v>4</v>
      </c>
    </row>
    <row r="8" spans="1:30" x14ac:dyDescent="0.25">
      <c r="C8">
        <v>1466</v>
      </c>
      <c r="D8" s="10">
        <f t="shared" si="0"/>
        <v>1.961800486618005</v>
      </c>
      <c r="E8" s="9">
        <f t="shared" si="1"/>
        <v>1005.4007715387912</v>
      </c>
      <c r="F8" s="11">
        <f>(($B$2*E8)/($B$6+E8))*$A$6/($A$6+$A$7)</f>
        <v>1.1374300004274782</v>
      </c>
      <c r="G8" s="10">
        <v>104</v>
      </c>
      <c r="R8" s="2"/>
      <c r="S8" s="2" t="s">
        <v>8</v>
      </c>
      <c r="T8" s="4">
        <f t="shared" si="2"/>
        <v>1.961800486618005</v>
      </c>
      <c r="U8" s="2" t="s">
        <v>3</v>
      </c>
      <c r="V8" s="2" t="s">
        <v>9</v>
      </c>
      <c r="W8" s="12">
        <f t="shared" si="3"/>
        <v>104</v>
      </c>
      <c r="X8" s="2" t="s">
        <v>4</v>
      </c>
      <c r="Y8" s="2" t="s">
        <v>8</v>
      </c>
      <c r="Z8" s="4">
        <f t="shared" si="4"/>
        <v>1.1374300004274782</v>
      </c>
      <c r="AA8" s="2" t="s">
        <v>3</v>
      </c>
      <c r="AB8" s="2" t="s">
        <v>9</v>
      </c>
      <c r="AC8" s="12">
        <f t="shared" si="5"/>
        <v>104</v>
      </c>
      <c r="AD8" s="2" t="s">
        <v>4</v>
      </c>
    </row>
    <row r="9" spans="1:30" x14ac:dyDescent="0.25">
      <c r="C9">
        <v>984</v>
      </c>
      <c r="D9" s="10">
        <f t="shared" si="0"/>
        <v>1.6366935483870966</v>
      </c>
      <c r="E9" s="9">
        <f t="shared" si="1"/>
        <v>752.58126195028683</v>
      </c>
      <c r="F9" s="11">
        <f t="shared" si="6"/>
        <v>0.97423085315295654</v>
      </c>
      <c r="G9" s="10">
        <v>122</v>
      </c>
      <c r="R9" s="2"/>
      <c r="S9" s="2" t="s">
        <v>8</v>
      </c>
      <c r="T9" s="4">
        <f t="shared" si="2"/>
        <v>1.6366935483870966</v>
      </c>
      <c r="U9" s="2" t="s">
        <v>3</v>
      </c>
      <c r="V9" s="2" t="s">
        <v>9</v>
      </c>
      <c r="W9" s="12">
        <f t="shared" si="3"/>
        <v>122</v>
      </c>
      <c r="X9" s="2" t="s">
        <v>4</v>
      </c>
      <c r="Y9" s="2" t="s">
        <v>8</v>
      </c>
      <c r="Z9" s="4">
        <f t="shared" si="4"/>
        <v>0.97423085315295654</v>
      </c>
      <c r="AA9" s="2" t="s">
        <v>3</v>
      </c>
      <c r="AB9" s="2" t="s">
        <v>9</v>
      </c>
      <c r="AC9" s="12">
        <f t="shared" si="5"/>
        <v>122</v>
      </c>
      <c r="AD9" s="2" t="s">
        <v>4</v>
      </c>
    </row>
    <row r="10" spans="1:30" x14ac:dyDescent="0.25">
      <c r="C10">
        <v>671</v>
      </c>
      <c r="D10" s="10">
        <f t="shared" si="0"/>
        <v>1.3251346499102332</v>
      </c>
      <c r="E10" s="9">
        <f t="shared" si="1"/>
        <v>554.68871092740892</v>
      </c>
      <c r="F10" s="11">
        <f t="shared" si="6"/>
        <v>0.80945465421554597</v>
      </c>
      <c r="G10" s="10">
        <v>140</v>
      </c>
      <c r="R10" s="2"/>
      <c r="S10" s="2" t="s">
        <v>8</v>
      </c>
      <c r="T10" s="4">
        <f t="shared" si="2"/>
        <v>1.3251346499102332</v>
      </c>
      <c r="U10" s="2" t="s">
        <v>3</v>
      </c>
      <c r="V10" s="2" t="s">
        <v>9</v>
      </c>
      <c r="W10" s="12">
        <f t="shared" si="3"/>
        <v>140</v>
      </c>
      <c r="X10" s="2" t="s">
        <v>4</v>
      </c>
      <c r="Y10" s="2" t="s">
        <v>8</v>
      </c>
      <c r="Z10" s="4">
        <f t="shared" si="4"/>
        <v>0.80945465421554597</v>
      </c>
      <c r="AA10" s="2" t="s">
        <v>3</v>
      </c>
      <c r="AB10" s="2" t="s">
        <v>9</v>
      </c>
      <c r="AC10" s="12">
        <f t="shared" si="5"/>
        <v>140</v>
      </c>
      <c r="AD10" s="2" t="s">
        <v>4</v>
      </c>
    </row>
    <row r="11" spans="1:30" x14ac:dyDescent="0.25">
      <c r="C11">
        <v>468</v>
      </c>
      <c r="D11" s="10">
        <f t="shared" si="0"/>
        <v>1.0520435967302451</v>
      </c>
      <c r="E11" s="9">
        <f t="shared" si="1"/>
        <v>408.2878953107961</v>
      </c>
      <c r="F11" s="11">
        <f t="shared" si="6"/>
        <v>0.65775127768313457</v>
      </c>
      <c r="G11" s="10">
        <v>158</v>
      </c>
      <c r="R11" s="2"/>
      <c r="S11" s="2" t="s">
        <v>8</v>
      </c>
      <c r="T11" s="4">
        <f t="shared" si="2"/>
        <v>1.0520435967302451</v>
      </c>
      <c r="U11" s="2" t="s">
        <v>3</v>
      </c>
      <c r="V11" s="2" t="s">
        <v>9</v>
      </c>
      <c r="W11" s="12">
        <f t="shared" si="3"/>
        <v>158</v>
      </c>
      <c r="X11" s="2" t="s">
        <v>4</v>
      </c>
      <c r="Y11" s="2" t="s">
        <v>8</v>
      </c>
      <c r="Z11" s="4">
        <f t="shared" si="4"/>
        <v>0.65775127768313457</v>
      </c>
      <c r="AA11" s="2" t="s">
        <v>3</v>
      </c>
      <c r="AB11" s="2" t="s">
        <v>9</v>
      </c>
      <c r="AC11" s="12">
        <f t="shared" si="5"/>
        <v>158</v>
      </c>
      <c r="AD11" s="2" t="s">
        <v>4</v>
      </c>
    </row>
    <row r="12" spans="1:30" x14ac:dyDescent="0.25">
      <c r="C12">
        <v>332</v>
      </c>
      <c r="D12" s="10">
        <f>($B$2*C12)/($A$2+C12)</f>
        <v>0.82252252252252245</v>
      </c>
      <c r="E12" s="9">
        <f t="shared" si="1"/>
        <v>300.79275198187997</v>
      </c>
      <c r="F12" s="11">
        <f>(($B$2*E12)/($B$6+E12))*$A$6/($A$6+$A$7)</f>
        <v>0.52462127807765979</v>
      </c>
      <c r="G12" s="10">
        <v>176</v>
      </c>
      <c r="R12" s="2"/>
      <c r="S12" s="2" t="s">
        <v>8</v>
      </c>
      <c r="T12" s="4">
        <f t="shared" si="2"/>
        <v>0.82252252252252245</v>
      </c>
      <c r="U12" s="2" t="s">
        <v>3</v>
      </c>
      <c r="V12" s="2" t="s">
        <v>9</v>
      </c>
      <c r="W12" s="12">
        <f t="shared" si="3"/>
        <v>176</v>
      </c>
      <c r="X12" s="2" t="s">
        <v>4</v>
      </c>
      <c r="Y12" s="2" t="s">
        <v>8</v>
      </c>
      <c r="Z12" s="4">
        <f t="shared" si="4"/>
        <v>0.52462127807765979</v>
      </c>
      <c r="AA12" s="2" t="s">
        <v>3</v>
      </c>
      <c r="AB12" s="2" t="s">
        <v>9</v>
      </c>
      <c r="AC12" s="12">
        <f t="shared" si="5"/>
        <v>176</v>
      </c>
      <c r="AD12" s="2" t="s">
        <v>4</v>
      </c>
    </row>
    <row r="13" spans="1:30" x14ac:dyDescent="0.25">
      <c r="C13">
        <v>239</v>
      </c>
      <c r="D13" s="10">
        <f t="shared" ref="D13:D19" si="7">($B$2*C13)/($A$2+C13)</f>
        <v>0.63656174334140425</v>
      </c>
      <c r="E13" s="9">
        <f t="shared" ref="E13:E19" si="8">C13*($A$6+$A$7)/(C13+$A$6+$A$7)</f>
        <v>222.39022971794125</v>
      </c>
      <c r="F13" s="11">
        <f t="shared" ref="F13:F19" si="9">(($B$2*E13)/($B$6+E13))*$A$6/($A$6+$A$7)</f>
        <v>0.41275512631428701</v>
      </c>
      <c r="G13" s="10">
        <v>194</v>
      </c>
      <c r="S13" s="2" t="s">
        <v>7</v>
      </c>
      <c r="T13" s="4"/>
      <c r="U13" s="2"/>
      <c r="V13" s="2"/>
      <c r="W13" s="12"/>
      <c r="X13" s="2"/>
      <c r="Y13" s="2" t="s">
        <v>7</v>
      </c>
      <c r="Z13" s="4"/>
      <c r="AA13" s="2"/>
      <c r="AB13" s="2"/>
      <c r="AC13" s="12"/>
      <c r="AD13" s="2"/>
    </row>
    <row r="14" spans="1:30" x14ac:dyDescent="0.25">
      <c r="C14">
        <v>175</v>
      </c>
      <c r="D14" s="10">
        <f t="shared" si="7"/>
        <v>0.49148936170212765</v>
      </c>
      <c r="E14" s="9">
        <f t="shared" si="8"/>
        <v>165.92592592592592</v>
      </c>
      <c r="F14" s="11">
        <f t="shared" si="9"/>
        <v>0.32287166454891997</v>
      </c>
      <c r="G14" s="10">
        <v>212</v>
      </c>
    </row>
    <row r="15" spans="1:30" x14ac:dyDescent="0.25">
      <c r="C15">
        <v>129</v>
      </c>
      <c r="D15" s="10">
        <f t="shared" si="7"/>
        <v>0.37705934455270151</v>
      </c>
      <c r="E15" s="9">
        <f t="shared" si="8"/>
        <v>124.00120156203064</v>
      </c>
      <c r="F15" s="11">
        <f t="shared" si="9"/>
        <v>0.25029130365064939</v>
      </c>
      <c r="G15" s="10">
        <v>230</v>
      </c>
    </row>
    <row r="16" spans="1:30" x14ac:dyDescent="0.25">
      <c r="C16">
        <v>97</v>
      </c>
      <c r="D16" s="10">
        <f t="shared" si="7"/>
        <v>0.29179580674566996</v>
      </c>
      <c r="E16" s="9">
        <f t="shared" si="8"/>
        <v>94.146193509250836</v>
      </c>
      <c r="F16" s="11">
        <f t="shared" si="9"/>
        <v>0.19521539058601761</v>
      </c>
      <c r="G16" s="10">
        <v>248</v>
      </c>
    </row>
    <row r="17" spans="3:26" x14ac:dyDescent="0.25">
      <c r="C17">
        <v>73</v>
      </c>
      <c r="D17" s="10">
        <f t="shared" si="7"/>
        <v>0.22451071761416586</v>
      </c>
      <c r="E17" s="9">
        <f t="shared" si="8"/>
        <v>71.371830125267337</v>
      </c>
      <c r="F17" s="11">
        <f t="shared" si="9"/>
        <v>0.15113785433183141</v>
      </c>
      <c r="G17" s="10">
        <v>266</v>
      </c>
    </row>
    <row r="18" spans="3:26" x14ac:dyDescent="0.25">
      <c r="C18">
        <v>57</v>
      </c>
      <c r="D18" s="10">
        <f t="shared" si="7"/>
        <v>0.17795648060548722</v>
      </c>
      <c r="E18" s="9">
        <f t="shared" si="8"/>
        <v>56.002456248081053</v>
      </c>
      <c r="F18" s="11">
        <f t="shared" si="9"/>
        <v>0.12031749723789034</v>
      </c>
      <c r="G18" s="10">
        <v>284</v>
      </c>
    </row>
    <row r="19" spans="3:26" x14ac:dyDescent="0.25">
      <c r="C19">
        <v>43</v>
      </c>
      <c r="D19" s="10">
        <f t="shared" si="7"/>
        <v>0.13604985618408438</v>
      </c>
      <c r="E19" s="9">
        <f t="shared" si="8"/>
        <v>42.429848905334566</v>
      </c>
      <c r="F19" s="11">
        <f t="shared" si="9"/>
        <v>9.2344554221144168E-2</v>
      </c>
      <c r="G19" s="10">
        <v>302</v>
      </c>
      <c r="M19" s="5"/>
    </row>
    <row r="22" spans="3:26" x14ac:dyDescent="0.25">
      <c r="M22" s="1"/>
    </row>
    <row r="24" spans="3:26" x14ac:dyDescent="0.25">
      <c r="T24"/>
      <c r="Z24"/>
    </row>
    <row r="36" spans="14:14" x14ac:dyDescent="0.25">
      <c r="N36" t="s">
        <v>34</v>
      </c>
    </row>
    <row r="37" spans="14:14" x14ac:dyDescent="0.25">
      <c r="N37" t="s">
        <v>35</v>
      </c>
    </row>
    <row r="38" spans="14:14" x14ac:dyDescent="0.25">
      <c r="N38" t="s">
        <v>36</v>
      </c>
    </row>
    <row r="39" spans="14:14" x14ac:dyDescent="0.25">
      <c r="N39" t="s">
        <v>37</v>
      </c>
    </row>
    <row r="40" spans="14:14" x14ac:dyDescent="0.25">
      <c r="N40" t="s">
        <v>38</v>
      </c>
    </row>
    <row r="41" spans="14:14" x14ac:dyDescent="0.25">
      <c r="N41" t="s">
        <v>39</v>
      </c>
    </row>
    <row r="42" spans="14:14" x14ac:dyDescent="0.25">
      <c r="N42" t="s">
        <v>40</v>
      </c>
    </row>
    <row r="43" spans="14:14" x14ac:dyDescent="0.25">
      <c r="N43" t="s">
        <v>41</v>
      </c>
    </row>
    <row r="44" spans="14:14" x14ac:dyDescent="0.25">
      <c r="N44" t="s">
        <v>42</v>
      </c>
    </row>
    <row r="45" spans="14:14" x14ac:dyDescent="0.25">
      <c r="N45" t="s">
        <v>43</v>
      </c>
    </row>
    <row r="46" spans="14:14" x14ac:dyDescent="0.25">
      <c r="N46" t="s">
        <v>44</v>
      </c>
    </row>
    <row r="47" spans="14:14" x14ac:dyDescent="0.25">
      <c r="N47" t="s">
        <v>45</v>
      </c>
    </row>
    <row r="48" spans="14:14" x14ac:dyDescent="0.25">
      <c r="N48" t="s">
        <v>46</v>
      </c>
    </row>
    <row r="50" spans="14:14" x14ac:dyDescent="0.25">
      <c r="N50" t="s">
        <v>47</v>
      </c>
    </row>
    <row r="51" spans="14:14" x14ac:dyDescent="0.25">
      <c r="N51" t="s">
        <v>48</v>
      </c>
    </row>
    <row r="52" spans="14:14" x14ac:dyDescent="0.25">
      <c r="N52" t="s">
        <v>49</v>
      </c>
    </row>
    <row r="53" spans="14:14" x14ac:dyDescent="0.25">
      <c r="N53" t="s">
        <v>50</v>
      </c>
    </row>
    <row r="54" spans="14:14" x14ac:dyDescent="0.25">
      <c r="N54" t="s">
        <v>51</v>
      </c>
    </row>
    <row r="55" spans="14:14" x14ac:dyDescent="0.25">
      <c r="N55" t="s">
        <v>52</v>
      </c>
    </row>
    <row r="57" spans="14:14" x14ac:dyDescent="0.25">
      <c r="N57" t="s">
        <v>53</v>
      </c>
    </row>
    <row r="58" spans="14:14" x14ac:dyDescent="0.25">
      <c r="N58" t="s">
        <v>54</v>
      </c>
    </row>
    <row r="59" spans="14:14" x14ac:dyDescent="0.25">
      <c r="N59" t="s">
        <v>55</v>
      </c>
    </row>
    <row r="60" spans="14:14" x14ac:dyDescent="0.25">
      <c r="N60" t="s">
        <v>56</v>
      </c>
    </row>
    <row r="61" spans="14:14" x14ac:dyDescent="0.25">
      <c r="N61" t="s">
        <v>57</v>
      </c>
    </row>
    <row r="62" spans="14:14" x14ac:dyDescent="0.25">
      <c r="N62" t="s">
        <v>58</v>
      </c>
    </row>
    <row r="63" spans="14:14" x14ac:dyDescent="0.25">
      <c r="N63" t="s">
        <v>59</v>
      </c>
    </row>
    <row r="64" spans="14:14" x14ac:dyDescent="0.25">
      <c r="N64" t="s">
        <v>60</v>
      </c>
    </row>
    <row r="65" spans="14:14" x14ac:dyDescent="0.25">
      <c r="N65" t="s">
        <v>61</v>
      </c>
    </row>
    <row r="66" spans="14:14" x14ac:dyDescent="0.25">
      <c r="N66" t="s">
        <v>62</v>
      </c>
    </row>
    <row r="67" spans="14:14" x14ac:dyDescent="0.25">
      <c r="N67" t="s">
        <v>63</v>
      </c>
    </row>
    <row r="68" spans="14:14" x14ac:dyDescent="0.25">
      <c r="N68" t="s">
        <v>64</v>
      </c>
    </row>
    <row r="69" spans="14:14" x14ac:dyDescent="0.25">
      <c r="N69" t="s">
        <v>65</v>
      </c>
    </row>
    <row r="70" spans="14:14" x14ac:dyDescent="0.25">
      <c r="N70" t="s">
        <v>66</v>
      </c>
    </row>
    <row r="71" spans="14:14" x14ac:dyDescent="0.25">
      <c r="N71" t="s">
        <v>67</v>
      </c>
    </row>
    <row r="72" spans="14:14" x14ac:dyDescent="0.25">
      <c r="N72" t="s">
        <v>68</v>
      </c>
    </row>
    <row r="73" spans="14:14" x14ac:dyDescent="0.25">
      <c r="N73" t="s">
        <v>69</v>
      </c>
    </row>
    <row r="74" spans="14:14" x14ac:dyDescent="0.25">
      <c r="N74" t="s">
        <v>70</v>
      </c>
    </row>
    <row r="75" spans="14:14" x14ac:dyDescent="0.25">
      <c r="N75" t="s">
        <v>71</v>
      </c>
    </row>
    <row r="77" spans="14:14" x14ac:dyDescent="0.25">
      <c r="N77" t="s">
        <v>72</v>
      </c>
    </row>
    <row r="79" spans="14:14" x14ac:dyDescent="0.25">
      <c r="N79" t="s">
        <v>73</v>
      </c>
    </row>
    <row r="80" spans="14:14" x14ac:dyDescent="0.25">
      <c r="N80" t="s">
        <v>74</v>
      </c>
    </row>
    <row r="81" spans="14:14" x14ac:dyDescent="0.25">
      <c r="N81" t="s">
        <v>75</v>
      </c>
    </row>
    <row r="82" spans="14:14" x14ac:dyDescent="0.25">
      <c r="N82">
        <v>28136</v>
      </c>
    </row>
    <row r="83" spans="14:14" x14ac:dyDescent="0.25">
      <c r="N83">
        <v>15813</v>
      </c>
    </row>
    <row r="84" spans="14:14" x14ac:dyDescent="0.25">
      <c r="N84">
        <v>9319</v>
      </c>
    </row>
    <row r="85" spans="14:14" x14ac:dyDescent="0.25">
      <c r="N85">
        <v>5589</v>
      </c>
    </row>
    <row r="86" spans="14:14" x14ac:dyDescent="0.25">
      <c r="N86">
        <v>3476</v>
      </c>
    </row>
    <row r="87" spans="14:14" x14ac:dyDescent="0.25">
      <c r="N87">
        <v>2230</v>
      </c>
    </row>
    <row r="88" spans="14:14" x14ac:dyDescent="0.25">
      <c r="N88">
        <v>1466</v>
      </c>
    </row>
    <row r="89" spans="14:14" x14ac:dyDescent="0.25">
      <c r="N89">
        <v>984</v>
      </c>
    </row>
    <row r="90" spans="14:14" x14ac:dyDescent="0.25">
      <c r="N90">
        <v>671</v>
      </c>
    </row>
    <row r="91" spans="14:14" x14ac:dyDescent="0.25">
      <c r="N91">
        <v>468</v>
      </c>
    </row>
    <row r="92" spans="14:14" x14ac:dyDescent="0.25">
      <c r="N92">
        <v>332</v>
      </c>
    </row>
    <row r="93" spans="14:14" x14ac:dyDescent="0.25">
      <c r="N93">
        <v>239</v>
      </c>
    </row>
    <row r="94" spans="14:14" x14ac:dyDescent="0.25">
      <c r="N94">
        <v>175</v>
      </c>
    </row>
    <row r="95" spans="14:14" x14ac:dyDescent="0.25">
      <c r="N95">
        <v>129</v>
      </c>
    </row>
    <row r="96" spans="14:14" x14ac:dyDescent="0.25">
      <c r="N96">
        <v>97</v>
      </c>
    </row>
    <row r="97" spans="14:14" x14ac:dyDescent="0.25">
      <c r="N97">
        <v>73</v>
      </c>
    </row>
    <row r="98" spans="14:14" x14ac:dyDescent="0.25">
      <c r="N98">
        <v>57</v>
      </c>
    </row>
    <row r="99" spans="14:14" x14ac:dyDescent="0.25">
      <c r="N99">
        <v>43</v>
      </c>
    </row>
    <row r="101" spans="14:14" x14ac:dyDescent="0.25">
      <c r="N101" t="s">
        <v>76</v>
      </c>
    </row>
    <row r="102" spans="14:14" x14ac:dyDescent="0.25">
      <c r="N102" t="s">
        <v>77</v>
      </c>
    </row>
    <row r="103" spans="14:14" x14ac:dyDescent="0.25">
      <c r="N103" t="s">
        <v>78</v>
      </c>
    </row>
    <row r="104" spans="14:14" x14ac:dyDescent="0.25">
      <c r="N104" t="s">
        <v>79</v>
      </c>
    </row>
    <row r="105" spans="14:14" x14ac:dyDescent="0.25">
      <c r="N105" t="s">
        <v>80</v>
      </c>
    </row>
    <row r="106" spans="14:14" x14ac:dyDescent="0.25">
      <c r="N106" t="s">
        <v>81</v>
      </c>
    </row>
    <row r="107" spans="14:14" x14ac:dyDescent="0.25">
      <c r="N107" t="s">
        <v>82</v>
      </c>
    </row>
    <row r="108" spans="14:14" x14ac:dyDescent="0.25">
      <c r="N108" t="s">
        <v>83</v>
      </c>
    </row>
    <row r="109" spans="14:14" x14ac:dyDescent="0.25">
      <c r="N109" t="s">
        <v>84</v>
      </c>
    </row>
    <row r="110" spans="14:14" x14ac:dyDescent="0.25">
      <c r="N110" t="s">
        <v>85</v>
      </c>
    </row>
    <row r="111" spans="14:14" x14ac:dyDescent="0.25">
      <c r="N111" t="s">
        <v>86</v>
      </c>
    </row>
    <row r="112" spans="14:14" x14ac:dyDescent="0.25">
      <c r="N112" t="s">
        <v>87</v>
      </c>
    </row>
    <row r="113" spans="14:14" x14ac:dyDescent="0.25">
      <c r="N113" t="s">
        <v>88</v>
      </c>
    </row>
    <row r="114" spans="14:14" x14ac:dyDescent="0.25">
      <c r="N114" t="s">
        <v>89</v>
      </c>
    </row>
    <row r="115" spans="14:14" x14ac:dyDescent="0.25">
      <c r="N115" t="s">
        <v>90</v>
      </c>
    </row>
    <row r="116" spans="14:14" x14ac:dyDescent="0.25">
      <c r="N116" t="s">
        <v>91</v>
      </c>
    </row>
    <row r="117" spans="14:14" x14ac:dyDescent="0.25">
      <c r="N117" t="s">
        <v>92</v>
      </c>
    </row>
    <row r="118" spans="14:14" x14ac:dyDescent="0.25">
      <c r="N118" t="s">
        <v>93</v>
      </c>
    </row>
    <row r="119" spans="14:14" x14ac:dyDescent="0.25">
      <c r="N119" t="s">
        <v>94</v>
      </c>
    </row>
    <row r="120" spans="14:14" x14ac:dyDescent="0.25">
      <c r="N120" t="s">
        <v>95</v>
      </c>
    </row>
    <row r="121" spans="14:14" x14ac:dyDescent="0.25">
      <c r="N121" t="s">
        <v>96</v>
      </c>
    </row>
    <row r="123" spans="14:14" x14ac:dyDescent="0.25">
      <c r="N123" t="s">
        <v>97</v>
      </c>
    </row>
    <row r="124" spans="14:14" x14ac:dyDescent="0.25">
      <c r="N124" t="s">
        <v>98</v>
      </c>
    </row>
    <row r="125" spans="14:14" x14ac:dyDescent="0.25">
      <c r="N125" t="s">
        <v>99</v>
      </c>
    </row>
    <row r="126" spans="14:14" x14ac:dyDescent="0.25">
      <c r="N126" t="s">
        <v>100</v>
      </c>
    </row>
    <row r="127" spans="14:14" x14ac:dyDescent="0.25">
      <c r="N127" t="s">
        <v>101</v>
      </c>
    </row>
    <row r="128" spans="14:14" x14ac:dyDescent="0.25">
      <c r="N128" t="s">
        <v>102</v>
      </c>
    </row>
    <row r="129" spans="14:14" x14ac:dyDescent="0.25">
      <c r="N129" t="s">
        <v>103</v>
      </c>
    </row>
    <row r="130" spans="14:14" x14ac:dyDescent="0.25">
      <c r="N130" t="s">
        <v>104</v>
      </c>
    </row>
    <row r="131" spans="14:14" x14ac:dyDescent="0.25">
      <c r="N131" t="s">
        <v>105</v>
      </c>
    </row>
    <row r="132" spans="14:14" x14ac:dyDescent="0.25">
      <c r="N132" t="s">
        <v>106</v>
      </c>
    </row>
    <row r="133" spans="14:14" x14ac:dyDescent="0.25">
      <c r="N133" t="s">
        <v>107</v>
      </c>
    </row>
    <row r="134" spans="14:14" x14ac:dyDescent="0.25">
      <c r="N134" t="s">
        <v>108</v>
      </c>
    </row>
    <row r="135" spans="14:14" x14ac:dyDescent="0.25">
      <c r="N135" t="s">
        <v>109</v>
      </c>
    </row>
    <row r="136" spans="14:14" x14ac:dyDescent="0.25">
      <c r="N136" t="s">
        <v>110</v>
      </c>
    </row>
    <row r="137" spans="14:14" x14ac:dyDescent="0.25">
      <c r="N137" t="s">
        <v>111</v>
      </c>
    </row>
    <row r="138" spans="14:14" x14ac:dyDescent="0.25">
      <c r="N138" t="s">
        <v>112</v>
      </c>
    </row>
    <row r="139" spans="14:14" x14ac:dyDescent="0.25">
      <c r="N139" t="s">
        <v>113</v>
      </c>
    </row>
    <row r="140" spans="14:14" x14ac:dyDescent="0.25">
      <c r="N140" t="s">
        <v>114</v>
      </c>
    </row>
    <row r="141" spans="14:14" x14ac:dyDescent="0.25">
      <c r="N141" t="s">
        <v>115</v>
      </c>
    </row>
    <row r="142" spans="14:14" x14ac:dyDescent="0.25">
      <c r="N142" t="s">
        <v>116</v>
      </c>
    </row>
  </sheetData>
  <pageMargins left="0.7" right="0.7" top="0.75" bottom="0.75" header="0.3" footer="0.3"/>
  <pageSetup paperSize="0" orientation="landscape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Bosch 0280130026 oil temp</vt:lpstr>
      <vt:lpstr>VDO 360-081-029-033C 10B pressu</vt:lpstr>
      <vt:lpstr>Bosch 0261230340 oil + press</vt:lpstr>
      <vt:lpstr>Bosch 0280130023 oil temp</vt:lpstr>
      <vt:lpstr>VDO A2C1755410001 oil temp</vt:lpstr>
      <vt:lpstr>VDO 323-801-001-00 coolant temp</vt:lpstr>
      <vt:lpstr>Random oil sensor</vt:lpstr>
      <vt:lpstr>Bosch E36 coolant sensor</vt:lpstr>
      <vt:lpstr>VDO 360-081-029-001K pressure</vt:lpstr>
      <vt:lpstr>27 NPT 3-160 pressure</vt:lpstr>
      <vt:lpstr>Beta (osculati)</vt:lpstr>
      <vt:lpstr>Bosch E36 coolant sensor (2)</vt:lpstr>
      <vt:lpstr>VDO S50 12611404699 801 37 2</vt:lpstr>
      <vt:lpstr>AEM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 Kemppainen</dc:creator>
  <cp:lastModifiedBy>Maciej Loboda</cp:lastModifiedBy>
  <dcterms:created xsi:type="dcterms:W3CDTF">2022-01-13T11:53:22Z</dcterms:created>
  <dcterms:modified xsi:type="dcterms:W3CDTF">2026-05-28T23:15:42Z</dcterms:modified>
</cp:coreProperties>
</file>